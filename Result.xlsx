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work\论文\职业性别偏见度量框架\HSSC\一审\"/>
    </mc:Choice>
  </mc:AlternateContent>
  <xr:revisionPtr revIDLastSave="0" documentId="13_ncr:1_{E1080BF0-8DAB-4776-8F67-72E1E0B71553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10" sheetId="3" r:id="rId1"/>
    <sheet name="20" sheetId="5" r:id="rId2"/>
    <sheet name="30" sheetId="6" r:id="rId3"/>
    <sheet name="40" sheetId="8" r:id="rId4"/>
    <sheet name="50" sheetId="9" r:id="rId5"/>
    <sheet name="60" sheetId="10" r:id="rId6"/>
    <sheet name="70" sheetId="11" r:id="rId7"/>
    <sheet name="80" sheetId="12" r:id="rId8"/>
    <sheet name="90" sheetId="7" r:id="rId9"/>
    <sheet name="100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1" i="13" l="1"/>
  <c r="F77" i="13" s="1"/>
  <c r="G77" i="13" s="1"/>
  <c r="H77" i="13" s="1"/>
  <c r="C101" i="13"/>
  <c r="E99" i="13"/>
  <c r="C99" i="13"/>
  <c r="E99" i="12"/>
  <c r="E101" i="12"/>
  <c r="C101" i="12"/>
  <c r="C99" i="12"/>
  <c r="D2" i="12" s="1"/>
  <c r="E101" i="11"/>
  <c r="C101" i="11"/>
  <c r="D17" i="11" s="1"/>
  <c r="E99" i="11"/>
  <c r="C99" i="11"/>
  <c r="D87" i="11" s="1"/>
  <c r="F47" i="11"/>
  <c r="G47" i="11" s="1"/>
  <c r="H47" i="11" s="1"/>
  <c r="F44" i="11"/>
  <c r="G44" i="11" s="1"/>
  <c r="H44" i="11" s="1"/>
  <c r="F43" i="11"/>
  <c r="G43" i="11" s="1"/>
  <c r="H43" i="11" s="1"/>
  <c r="F41" i="11"/>
  <c r="G41" i="11" s="1"/>
  <c r="H41" i="11" s="1"/>
  <c r="F37" i="11"/>
  <c r="G37" i="11" s="1"/>
  <c r="H37" i="11" s="1"/>
  <c r="F35" i="11"/>
  <c r="G35" i="11" s="1"/>
  <c r="H35" i="11" s="1"/>
  <c r="F33" i="11"/>
  <c r="G33" i="11" s="1"/>
  <c r="H33" i="11" s="1"/>
  <c r="F25" i="11"/>
  <c r="G25" i="11" s="1"/>
  <c r="H25" i="11" s="1"/>
  <c r="F24" i="11"/>
  <c r="G24" i="11" s="1"/>
  <c r="H24" i="11" s="1"/>
  <c r="F23" i="11"/>
  <c r="G23" i="11" s="1"/>
  <c r="H23" i="11" s="1"/>
  <c r="F19" i="11"/>
  <c r="G19" i="11" s="1"/>
  <c r="H19" i="11" s="1"/>
  <c r="F17" i="11"/>
  <c r="G17" i="11" s="1"/>
  <c r="H17" i="11" s="1"/>
  <c r="F8" i="11"/>
  <c r="G8" i="11" s="1"/>
  <c r="H8" i="11" s="1"/>
  <c r="E101" i="10"/>
  <c r="C101" i="10"/>
  <c r="E99" i="10"/>
  <c r="C99" i="10"/>
  <c r="F80" i="10"/>
  <c r="G80" i="10" s="1"/>
  <c r="H80" i="10" s="1"/>
  <c r="D80" i="10"/>
  <c r="D79" i="10"/>
  <c r="F73" i="10"/>
  <c r="G73" i="10" s="1"/>
  <c r="H73" i="10" s="1"/>
  <c r="D73" i="10"/>
  <c r="F72" i="10"/>
  <c r="G72" i="10" s="1"/>
  <c r="H72" i="10" s="1"/>
  <c r="F67" i="10"/>
  <c r="G67" i="10" s="1"/>
  <c r="H67" i="10" s="1"/>
  <c r="F66" i="10"/>
  <c r="G66" i="10" s="1"/>
  <c r="H66" i="10" s="1"/>
  <c r="F65" i="10"/>
  <c r="G65" i="10" s="1"/>
  <c r="H65" i="10" s="1"/>
  <c r="F64" i="10"/>
  <c r="G64" i="10" s="1"/>
  <c r="H64" i="10" s="1"/>
  <c r="D64" i="10"/>
  <c r="F63" i="10"/>
  <c r="G63" i="10" s="1"/>
  <c r="H63" i="10" s="1"/>
  <c r="D63" i="10"/>
  <c r="D58" i="10"/>
  <c r="F57" i="10"/>
  <c r="G57" i="10" s="1"/>
  <c r="H57" i="10" s="1"/>
  <c r="D57" i="10"/>
  <c r="F56" i="10"/>
  <c r="G56" i="10" s="1"/>
  <c r="H56" i="10" s="1"/>
  <c r="D56" i="10"/>
  <c r="F55" i="10"/>
  <c r="G55" i="10" s="1"/>
  <c r="H55" i="10" s="1"/>
  <c r="F52" i="10"/>
  <c r="G52" i="10" s="1"/>
  <c r="H52" i="10" s="1"/>
  <c r="F50" i="10"/>
  <c r="G50" i="10" s="1"/>
  <c r="H50" i="10" s="1"/>
  <c r="F43" i="10"/>
  <c r="G43" i="10" s="1"/>
  <c r="H43" i="10" s="1"/>
  <c r="D42" i="10"/>
  <c r="F41" i="10"/>
  <c r="G41" i="10" s="1"/>
  <c r="H41" i="10" s="1"/>
  <c r="D41" i="10"/>
  <c r="F40" i="10"/>
  <c r="G40" i="10" s="1"/>
  <c r="H40" i="10" s="1"/>
  <c r="F39" i="10"/>
  <c r="G39" i="10" s="1"/>
  <c r="H39" i="10" s="1"/>
  <c r="D35" i="10"/>
  <c r="F33" i="10"/>
  <c r="G33" i="10" s="1"/>
  <c r="H33" i="10" s="1"/>
  <c r="F32" i="10"/>
  <c r="G32" i="10" s="1"/>
  <c r="H32" i="10" s="1"/>
  <c r="F31" i="10"/>
  <c r="G31" i="10" s="1"/>
  <c r="H31" i="10" s="1"/>
  <c r="F30" i="10"/>
  <c r="G30" i="10" s="1"/>
  <c r="H30" i="10" s="1"/>
  <c r="F29" i="10"/>
  <c r="G29" i="10" s="1"/>
  <c r="H29" i="10" s="1"/>
  <c r="D28" i="10"/>
  <c r="F27" i="10"/>
  <c r="G27" i="10" s="1"/>
  <c r="H27" i="10" s="1"/>
  <c r="F26" i="10"/>
  <c r="G26" i="10" s="1"/>
  <c r="H26" i="10" s="1"/>
  <c r="F25" i="10"/>
  <c r="G25" i="10" s="1"/>
  <c r="H25" i="10" s="1"/>
  <c r="F24" i="10"/>
  <c r="G24" i="10" s="1"/>
  <c r="H24" i="10" s="1"/>
  <c r="F23" i="10"/>
  <c r="G23" i="10" s="1"/>
  <c r="H23" i="10" s="1"/>
  <c r="F22" i="10"/>
  <c r="G22" i="10" s="1"/>
  <c r="H22" i="10" s="1"/>
  <c r="D22" i="10"/>
  <c r="F20" i="10"/>
  <c r="G20" i="10" s="1"/>
  <c r="H20" i="10" s="1"/>
  <c r="D20" i="10"/>
  <c r="F19" i="10"/>
  <c r="G19" i="10" s="1"/>
  <c r="H19" i="10" s="1"/>
  <c r="F18" i="10"/>
  <c r="G18" i="10" s="1"/>
  <c r="H18" i="10" s="1"/>
  <c r="F17" i="10"/>
  <c r="G17" i="10" s="1"/>
  <c r="H17" i="10" s="1"/>
  <c r="F16" i="10"/>
  <c r="G16" i="10" s="1"/>
  <c r="H16" i="10" s="1"/>
  <c r="F14" i="10"/>
  <c r="G14" i="10" s="1"/>
  <c r="H14" i="10" s="1"/>
  <c r="F13" i="10"/>
  <c r="G13" i="10" s="1"/>
  <c r="H13" i="10" s="1"/>
  <c r="D13" i="10"/>
  <c r="F12" i="10"/>
  <c r="G12" i="10" s="1"/>
  <c r="H12" i="10" s="1"/>
  <c r="D12" i="10"/>
  <c r="F11" i="10"/>
  <c r="G11" i="10" s="1"/>
  <c r="H11" i="10" s="1"/>
  <c r="D11" i="10"/>
  <c r="F10" i="10"/>
  <c r="G10" i="10" s="1"/>
  <c r="H10" i="10" s="1"/>
  <c r="F9" i="10"/>
  <c r="G9" i="10" s="1"/>
  <c r="H9" i="10" s="1"/>
  <c r="F8" i="10"/>
  <c r="G8" i="10" s="1"/>
  <c r="H8" i="10" s="1"/>
  <c r="F7" i="10"/>
  <c r="G7" i="10" s="1"/>
  <c r="H7" i="10" s="1"/>
  <c r="F6" i="10"/>
  <c r="G6" i="10" s="1"/>
  <c r="H6" i="10" s="1"/>
  <c r="F5" i="10"/>
  <c r="G5" i="10" s="1"/>
  <c r="H5" i="10" s="1"/>
  <c r="D5" i="10"/>
  <c r="F4" i="10"/>
  <c r="G4" i="10" s="1"/>
  <c r="H4" i="10" s="1"/>
  <c r="F3" i="10"/>
  <c r="G3" i="10" s="1"/>
  <c r="H3" i="10" s="1"/>
  <c r="D3" i="10"/>
  <c r="F2" i="10"/>
  <c r="G2" i="10" s="1"/>
  <c r="H2" i="10" s="1"/>
  <c r="D2" i="10"/>
  <c r="E101" i="9"/>
  <c r="C101" i="9"/>
  <c r="D66" i="9" s="1"/>
  <c r="E99" i="9"/>
  <c r="F84" i="9" s="1"/>
  <c r="G84" i="9" s="1"/>
  <c r="H84" i="9" s="1"/>
  <c r="C99" i="9"/>
  <c r="D63" i="9" s="1"/>
  <c r="F89" i="9"/>
  <c r="G89" i="9" s="1"/>
  <c r="H89" i="9" s="1"/>
  <c r="F88" i="9"/>
  <c r="G88" i="9" s="1"/>
  <c r="H88" i="9" s="1"/>
  <c r="F86" i="9"/>
  <c r="G86" i="9" s="1"/>
  <c r="H86" i="9" s="1"/>
  <c r="F85" i="9"/>
  <c r="G85" i="9" s="1"/>
  <c r="H85" i="9" s="1"/>
  <c r="F83" i="9"/>
  <c r="G83" i="9" s="1"/>
  <c r="H83" i="9" s="1"/>
  <c r="F79" i="9"/>
  <c r="G79" i="9" s="1"/>
  <c r="H79" i="9" s="1"/>
  <c r="F75" i="9"/>
  <c r="G75" i="9" s="1"/>
  <c r="H75" i="9" s="1"/>
  <c r="F73" i="9"/>
  <c r="G73" i="9" s="1"/>
  <c r="H73" i="9" s="1"/>
  <c r="F72" i="9"/>
  <c r="G72" i="9" s="1"/>
  <c r="H72" i="9" s="1"/>
  <c r="F70" i="9"/>
  <c r="G70" i="9" s="1"/>
  <c r="H70" i="9" s="1"/>
  <c r="F69" i="9"/>
  <c r="G69" i="9" s="1"/>
  <c r="H69" i="9" s="1"/>
  <c r="F67" i="9"/>
  <c r="G67" i="9" s="1"/>
  <c r="H67" i="9" s="1"/>
  <c r="F59" i="9"/>
  <c r="G59" i="9" s="1"/>
  <c r="H59" i="9" s="1"/>
  <c r="F57" i="9"/>
  <c r="G57" i="9" s="1"/>
  <c r="H57" i="9" s="1"/>
  <c r="F56" i="9"/>
  <c r="G56" i="9" s="1"/>
  <c r="H56" i="9" s="1"/>
  <c r="F54" i="9"/>
  <c r="G54" i="9" s="1"/>
  <c r="H54" i="9" s="1"/>
  <c r="F53" i="9"/>
  <c r="G53" i="9" s="1"/>
  <c r="H53" i="9" s="1"/>
  <c r="F50" i="9"/>
  <c r="G50" i="9" s="1"/>
  <c r="H50" i="9" s="1"/>
  <c r="F47" i="9"/>
  <c r="G47" i="9" s="1"/>
  <c r="H47" i="9" s="1"/>
  <c r="F44" i="9"/>
  <c r="G44" i="9" s="1"/>
  <c r="H44" i="9" s="1"/>
  <c r="F43" i="9"/>
  <c r="G43" i="9" s="1"/>
  <c r="H43" i="9" s="1"/>
  <c r="F41" i="9"/>
  <c r="G41" i="9" s="1"/>
  <c r="H41" i="9" s="1"/>
  <c r="F38" i="9"/>
  <c r="G38" i="9" s="1"/>
  <c r="H38" i="9" s="1"/>
  <c r="F35" i="9"/>
  <c r="G35" i="9" s="1"/>
  <c r="H35" i="9" s="1"/>
  <c r="F34" i="9"/>
  <c r="G34" i="9" s="1"/>
  <c r="H34" i="9" s="1"/>
  <c r="F32" i="9"/>
  <c r="G32" i="9" s="1"/>
  <c r="H32" i="9" s="1"/>
  <c r="F31" i="9"/>
  <c r="G31" i="9" s="1"/>
  <c r="H31" i="9" s="1"/>
  <c r="F28" i="9"/>
  <c r="G28" i="9" s="1"/>
  <c r="H28" i="9" s="1"/>
  <c r="F27" i="9"/>
  <c r="G27" i="9" s="1"/>
  <c r="H27" i="9" s="1"/>
  <c r="F22" i="9"/>
  <c r="G22" i="9" s="1"/>
  <c r="H22" i="9" s="1"/>
  <c r="F21" i="9"/>
  <c r="G21" i="9" s="1"/>
  <c r="H21" i="9" s="1"/>
  <c r="F19" i="9"/>
  <c r="G19" i="9" s="1"/>
  <c r="H19" i="9" s="1"/>
  <c r="F18" i="9"/>
  <c r="G18" i="9" s="1"/>
  <c r="H18" i="9" s="1"/>
  <c r="F16" i="9"/>
  <c r="G16" i="9" s="1"/>
  <c r="H16" i="9" s="1"/>
  <c r="F11" i="9"/>
  <c r="G11" i="9" s="1"/>
  <c r="H11" i="9" s="1"/>
  <c r="F9" i="9"/>
  <c r="G9" i="9" s="1"/>
  <c r="H9" i="9" s="1"/>
  <c r="F8" i="9"/>
  <c r="G8" i="9" s="1"/>
  <c r="H8" i="9" s="1"/>
  <c r="F6" i="9"/>
  <c r="G6" i="9" s="1"/>
  <c r="H6" i="9" s="1"/>
  <c r="F3" i="9"/>
  <c r="G3" i="9" s="1"/>
  <c r="H3" i="9" s="1"/>
  <c r="F2" i="9"/>
  <c r="G2" i="9" s="1"/>
  <c r="H2" i="9" s="1"/>
  <c r="C101" i="8"/>
  <c r="D64" i="8" s="1"/>
  <c r="C99" i="8"/>
  <c r="D61" i="8" s="1"/>
  <c r="E101" i="7"/>
  <c r="F61" i="7" s="1"/>
  <c r="G61" i="7" s="1"/>
  <c r="H61" i="7" s="1"/>
  <c r="C101" i="7"/>
  <c r="E99" i="7"/>
  <c r="F90" i="7" s="1"/>
  <c r="G90" i="7" s="1"/>
  <c r="H90" i="7" s="1"/>
  <c r="C99" i="7"/>
  <c r="D83" i="7" s="1"/>
  <c r="F88" i="7"/>
  <c r="G88" i="7" s="1"/>
  <c r="H88" i="7" s="1"/>
  <c r="F86" i="7"/>
  <c r="G86" i="7" s="1"/>
  <c r="H86" i="7" s="1"/>
  <c r="F80" i="7"/>
  <c r="G80" i="7" s="1"/>
  <c r="H80" i="7" s="1"/>
  <c r="F79" i="7"/>
  <c r="G79" i="7" s="1"/>
  <c r="H79" i="7" s="1"/>
  <c r="F78" i="7"/>
  <c r="G78" i="7" s="1"/>
  <c r="H78" i="7" s="1"/>
  <c r="F77" i="7"/>
  <c r="G77" i="7" s="1"/>
  <c r="H77" i="7" s="1"/>
  <c r="F76" i="7"/>
  <c r="G76" i="7" s="1"/>
  <c r="H76" i="7" s="1"/>
  <c r="F68" i="7"/>
  <c r="G68" i="7" s="1"/>
  <c r="H68" i="7" s="1"/>
  <c r="F67" i="7"/>
  <c r="G67" i="7" s="1"/>
  <c r="H67" i="7" s="1"/>
  <c r="F60" i="7"/>
  <c r="G60" i="7" s="1"/>
  <c r="H60" i="7" s="1"/>
  <c r="F59" i="7"/>
  <c r="G59" i="7" s="1"/>
  <c r="H59" i="7" s="1"/>
  <c r="F52" i="7"/>
  <c r="G52" i="7" s="1"/>
  <c r="H52" i="7" s="1"/>
  <c r="F50" i="7"/>
  <c r="G50" i="7" s="1"/>
  <c r="H50" i="7" s="1"/>
  <c r="F49" i="7"/>
  <c r="G49" i="7" s="1"/>
  <c r="H49" i="7" s="1"/>
  <c r="F40" i="7"/>
  <c r="G40" i="7" s="1"/>
  <c r="H40" i="7" s="1"/>
  <c r="F36" i="7"/>
  <c r="G36" i="7" s="1"/>
  <c r="H36" i="7" s="1"/>
  <c r="F35" i="7"/>
  <c r="G35" i="7" s="1"/>
  <c r="H35" i="7" s="1"/>
  <c r="F34" i="7"/>
  <c r="G34" i="7" s="1"/>
  <c r="H34" i="7" s="1"/>
  <c r="F33" i="7"/>
  <c r="G33" i="7" s="1"/>
  <c r="H33" i="7" s="1"/>
  <c r="F30" i="7"/>
  <c r="G30" i="7" s="1"/>
  <c r="H30" i="7" s="1"/>
  <c r="F29" i="7"/>
  <c r="G29" i="7" s="1"/>
  <c r="H29" i="7" s="1"/>
  <c r="F27" i="7"/>
  <c r="G27" i="7" s="1"/>
  <c r="H27" i="7" s="1"/>
  <c r="F26" i="7"/>
  <c r="G26" i="7" s="1"/>
  <c r="H26" i="7" s="1"/>
  <c r="F25" i="7"/>
  <c r="G25" i="7" s="1"/>
  <c r="H25" i="7" s="1"/>
  <c r="F24" i="7"/>
  <c r="G24" i="7" s="1"/>
  <c r="H24" i="7" s="1"/>
  <c r="F22" i="7"/>
  <c r="G22" i="7" s="1"/>
  <c r="H22" i="7" s="1"/>
  <c r="F21" i="7"/>
  <c r="G21" i="7" s="1"/>
  <c r="H21" i="7" s="1"/>
  <c r="F19" i="7"/>
  <c r="G19" i="7" s="1"/>
  <c r="H19" i="7" s="1"/>
  <c r="F17" i="7"/>
  <c r="G17" i="7" s="1"/>
  <c r="H17" i="7" s="1"/>
  <c r="F15" i="7"/>
  <c r="G15" i="7" s="1"/>
  <c r="H15" i="7" s="1"/>
  <c r="F14" i="7"/>
  <c r="G14" i="7" s="1"/>
  <c r="H14" i="7" s="1"/>
  <c r="F13" i="7"/>
  <c r="G13" i="7" s="1"/>
  <c r="H13" i="7" s="1"/>
  <c r="F11" i="7"/>
  <c r="G11" i="7" s="1"/>
  <c r="H11" i="7" s="1"/>
  <c r="F9" i="7"/>
  <c r="G9" i="7" s="1"/>
  <c r="H9" i="7" s="1"/>
  <c r="F7" i="7"/>
  <c r="G7" i="7" s="1"/>
  <c r="H7" i="7" s="1"/>
  <c r="F6" i="7"/>
  <c r="G6" i="7" s="1"/>
  <c r="H6" i="7" s="1"/>
  <c r="F4" i="7"/>
  <c r="G4" i="7" s="1"/>
  <c r="H4" i="7" s="1"/>
  <c r="D4" i="7"/>
  <c r="F2" i="7"/>
  <c r="G2" i="7" s="1"/>
  <c r="H2" i="7" s="1"/>
  <c r="D2" i="7"/>
  <c r="C101" i="6"/>
  <c r="D81" i="6" s="1"/>
  <c r="C99" i="6"/>
  <c r="C101" i="5"/>
  <c r="C99" i="5"/>
  <c r="C101" i="3"/>
  <c r="C99" i="3"/>
  <c r="D3" i="3" s="1"/>
  <c r="F71" i="13" l="1"/>
  <c r="G71" i="13" s="1"/>
  <c r="H71" i="13" s="1"/>
  <c r="F72" i="13"/>
  <c r="G72" i="13" s="1"/>
  <c r="H72" i="13" s="1"/>
  <c r="F25" i="13"/>
  <c r="G25" i="13" s="1"/>
  <c r="H25" i="13" s="1"/>
  <c r="F50" i="13"/>
  <c r="G50" i="13" s="1"/>
  <c r="H50" i="13" s="1"/>
  <c r="F37" i="13"/>
  <c r="G37" i="13" s="1"/>
  <c r="H37" i="13" s="1"/>
  <c r="F20" i="13"/>
  <c r="G20" i="13" s="1"/>
  <c r="H20" i="13" s="1"/>
  <c r="F54" i="13"/>
  <c r="G54" i="13" s="1"/>
  <c r="H54" i="13" s="1"/>
  <c r="F53" i="13"/>
  <c r="G53" i="13" s="1"/>
  <c r="H53" i="13" s="1"/>
  <c r="F74" i="13"/>
  <c r="G74" i="13" s="1"/>
  <c r="H74" i="13" s="1"/>
  <c r="F51" i="13"/>
  <c r="G51" i="13" s="1"/>
  <c r="H51" i="13" s="1"/>
  <c r="F42" i="13"/>
  <c r="G42" i="13" s="1"/>
  <c r="H42" i="13" s="1"/>
  <c r="F18" i="13"/>
  <c r="G18" i="13" s="1"/>
  <c r="H18" i="13" s="1"/>
  <c r="F35" i="13"/>
  <c r="G35" i="13" s="1"/>
  <c r="H35" i="13" s="1"/>
  <c r="F33" i="13"/>
  <c r="G33" i="13" s="1"/>
  <c r="H33" i="13" s="1"/>
  <c r="F62" i="13"/>
  <c r="G62" i="13" s="1"/>
  <c r="H62" i="13" s="1"/>
  <c r="F32" i="13"/>
  <c r="G32" i="13" s="1"/>
  <c r="H32" i="13" s="1"/>
  <c r="F30" i="13"/>
  <c r="G30" i="13" s="1"/>
  <c r="H30" i="13" s="1"/>
  <c r="F29" i="13"/>
  <c r="G29" i="13" s="1"/>
  <c r="H29" i="13" s="1"/>
  <c r="F49" i="13"/>
  <c r="G49" i="13" s="1"/>
  <c r="H49" i="13" s="1"/>
  <c r="F19" i="13"/>
  <c r="G19" i="13" s="1"/>
  <c r="H19" i="13" s="1"/>
  <c r="F39" i="13"/>
  <c r="G39" i="13" s="1"/>
  <c r="H39" i="13" s="1"/>
  <c r="F13" i="13"/>
  <c r="G13" i="13" s="1"/>
  <c r="H13" i="13" s="1"/>
  <c r="F12" i="13"/>
  <c r="G12" i="13" s="1"/>
  <c r="H12" i="13" s="1"/>
  <c r="F15" i="13"/>
  <c r="G15" i="13" s="1"/>
  <c r="H15" i="13" s="1"/>
  <c r="F10" i="13"/>
  <c r="G10" i="13" s="1"/>
  <c r="H10" i="13" s="1"/>
  <c r="F41" i="13"/>
  <c r="G41" i="13" s="1"/>
  <c r="H41" i="13" s="1"/>
  <c r="F9" i="13"/>
  <c r="G9" i="13" s="1"/>
  <c r="H9" i="13" s="1"/>
  <c r="F7" i="13"/>
  <c r="G7" i="13" s="1"/>
  <c r="H7" i="13" s="1"/>
  <c r="F5" i="13"/>
  <c r="G5" i="13" s="1"/>
  <c r="H5" i="13" s="1"/>
  <c r="F3" i="13"/>
  <c r="G3" i="13" s="1"/>
  <c r="H3" i="13" s="1"/>
  <c r="F2" i="13"/>
  <c r="G2" i="13" s="1"/>
  <c r="H2" i="13" s="1"/>
  <c r="F79" i="13"/>
  <c r="G79" i="13" s="1"/>
  <c r="H79" i="13" s="1"/>
  <c r="F61" i="13"/>
  <c r="G61" i="13" s="1"/>
  <c r="H61" i="13" s="1"/>
  <c r="F47" i="13"/>
  <c r="G47" i="13" s="1"/>
  <c r="H47" i="13" s="1"/>
  <c r="F23" i="13"/>
  <c r="G23" i="13" s="1"/>
  <c r="H23" i="13" s="1"/>
  <c r="F66" i="13"/>
  <c r="G66" i="13" s="1"/>
  <c r="H66" i="13" s="1"/>
  <c r="F43" i="13"/>
  <c r="G43" i="13" s="1"/>
  <c r="H43" i="13" s="1"/>
  <c r="F40" i="13"/>
  <c r="G40" i="13" s="1"/>
  <c r="H40" i="13" s="1"/>
  <c r="F22" i="13"/>
  <c r="G22" i="13" s="1"/>
  <c r="H22" i="13" s="1"/>
  <c r="F80" i="13"/>
  <c r="G80" i="13" s="1"/>
  <c r="H80" i="13" s="1"/>
  <c r="F65" i="13"/>
  <c r="G65" i="13" s="1"/>
  <c r="H65" i="13" s="1"/>
  <c r="F57" i="13"/>
  <c r="G57" i="13" s="1"/>
  <c r="H57" i="13" s="1"/>
  <c r="D84" i="13"/>
  <c r="D65" i="13"/>
  <c r="D53" i="13"/>
  <c r="D33" i="13"/>
  <c r="D27" i="13"/>
  <c r="D14" i="13"/>
  <c r="D11" i="13"/>
  <c r="D10" i="13"/>
  <c r="D17" i="13"/>
  <c r="D81" i="13"/>
  <c r="D43" i="13"/>
  <c r="D23" i="13"/>
  <c r="D2" i="13"/>
  <c r="D59" i="13"/>
  <c r="F4" i="12"/>
  <c r="F58" i="12"/>
  <c r="G58" i="12" s="1"/>
  <c r="H58" i="12" s="1"/>
  <c r="F36" i="12"/>
  <c r="G36" i="12" s="1"/>
  <c r="H36" i="12" s="1"/>
  <c r="F16" i="12"/>
  <c r="G16" i="12" s="1"/>
  <c r="H16" i="12" s="1"/>
  <c r="F14" i="12"/>
  <c r="G14" i="12" s="1"/>
  <c r="H14" i="12" s="1"/>
  <c r="F6" i="12"/>
  <c r="G6" i="12" s="1"/>
  <c r="H6" i="12" s="1"/>
  <c r="F84" i="12"/>
  <c r="G84" i="12" s="1"/>
  <c r="H84" i="12" s="1"/>
  <c r="F55" i="12"/>
  <c r="G55" i="12" s="1"/>
  <c r="H55" i="12" s="1"/>
  <c r="F17" i="12"/>
  <c r="G17" i="12" s="1"/>
  <c r="H17" i="12" s="1"/>
  <c r="F8" i="12"/>
  <c r="G8" i="12" s="1"/>
  <c r="H8" i="12" s="1"/>
  <c r="F5" i="12"/>
  <c r="G5" i="12" s="1"/>
  <c r="H5" i="12" s="1"/>
  <c r="F35" i="12"/>
  <c r="G35" i="12" s="1"/>
  <c r="H35" i="12" s="1"/>
  <c r="F33" i="12"/>
  <c r="G33" i="12" s="1"/>
  <c r="H33" i="12" s="1"/>
  <c r="F32" i="12"/>
  <c r="G32" i="12" s="1"/>
  <c r="H32" i="12" s="1"/>
  <c r="F30" i="12"/>
  <c r="G30" i="12" s="1"/>
  <c r="H30" i="12" s="1"/>
  <c r="F18" i="12"/>
  <c r="G18" i="12" s="1"/>
  <c r="H18" i="12" s="1"/>
  <c r="F7" i="12"/>
  <c r="G7" i="12" s="1"/>
  <c r="H7" i="12" s="1"/>
  <c r="F38" i="12"/>
  <c r="G38" i="12" s="1"/>
  <c r="H38" i="12" s="1"/>
  <c r="F84" i="11"/>
  <c r="G84" i="11" s="1"/>
  <c r="H84" i="11" s="1"/>
  <c r="F81" i="11"/>
  <c r="G81" i="11" s="1"/>
  <c r="H81" i="11" s="1"/>
  <c r="F79" i="11"/>
  <c r="G79" i="11" s="1"/>
  <c r="H79" i="11" s="1"/>
  <c r="F70" i="11"/>
  <c r="G70" i="11" s="1"/>
  <c r="H70" i="11" s="1"/>
  <c r="F54" i="11"/>
  <c r="G54" i="11" s="1"/>
  <c r="H54" i="11" s="1"/>
  <c r="F69" i="11"/>
  <c r="G69" i="11" s="1"/>
  <c r="H69" i="11" s="1"/>
  <c r="F64" i="11"/>
  <c r="G64" i="11" s="1"/>
  <c r="H64" i="11" s="1"/>
  <c r="F61" i="11"/>
  <c r="G61" i="11" s="1"/>
  <c r="H61" i="11" s="1"/>
  <c r="F58" i="11"/>
  <c r="G58" i="11" s="1"/>
  <c r="H58" i="11" s="1"/>
  <c r="F51" i="11"/>
  <c r="G51" i="11" s="1"/>
  <c r="H51" i="11" s="1"/>
  <c r="F50" i="11"/>
  <c r="G50" i="11" s="1"/>
  <c r="H50" i="11" s="1"/>
  <c r="D86" i="10"/>
  <c r="F84" i="10"/>
  <c r="G84" i="10" s="1"/>
  <c r="H84" i="10" s="1"/>
  <c r="F75" i="10"/>
  <c r="G75" i="10" s="1"/>
  <c r="H75" i="10" s="1"/>
  <c r="D85" i="10"/>
  <c r="D65" i="10"/>
  <c r="D22" i="8"/>
  <c r="D95" i="6"/>
  <c r="D87" i="5"/>
  <c r="D94" i="5"/>
  <c r="D88" i="5"/>
  <c r="D75" i="5"/>
  <c r="D72" i="5"/>
  <c r="D65" i="5"/>
  <c r="D61" i="5"/>
  <c r="D60" i="5"/>
  <c r="D59" i="5"/>
  <c r="D56" i="5"/>
  <c r="D53" i="5"/>
  <c r="D48" i="5"/>
  <c r="D47" i="5"/>
  <c r="D46" i="5"/>
  <c r="D45" i="5"/>
  <c r="D40" i="5"/>
  <c r="D37" i="5"/>
  <c r="D36" i="5"/>
  <c r="D35" i="5"/>
  <c r="D32" i="5"/>
  <c r="D30" i="5"/>
  <c r="D29" i="5"/>
  <c r="D28" i="5"/>
  <c r="D26" i="5"/>
  <c r="D25" i="5"/>
  <c r="D24" i="5"/>
  <c r="D23" i="5"/>
  <c r="D22" i="5"/>
  <c r="D21" i="5"/>
  <c r="D19" i="5"/>
  <c r="D18" i="5"/>
  <c r="D17" i="5"/>
  <c r="D16" i="5"/>
  <c r="D15" i="5"/>
  <c r="D14" i="5"/>
  <c r="D11" i="5"/>
  <c r="D10" i="5"/>
  <c r="D9" i="5"/>
  <c r="D8" i="5"/>
  <c r="D6" i="5"/>
  <c r="D5" i="5"/>
  <c r="D4" i="5"/>
  <c r="D3" i="5"/>
  <c r="D2" i="5"/>
  <c r="F11" i="13"/>
  <c r="G11" i="13" s="1"/>
  <c r="H11" i="13" s="1"/>
  <c r="F21" i="13"/>
  <c r="G21" i="13" s="1"/>
  <c r="H21" i="13" s="1"/>
  <c r="F31" i="13"/>
  <c r="G31" i="13" s="1"/>
  <c r="H31" i="13" s="1"/>
  <c r="D42" i="13"/>
  <c r="F52" i="13"/>
  <c r="G52" i="13" s="1"/>
  <c r="H52" i="13" s="1"/>
  <c r="F64" i="13"/>
  <c r="G64" i="13" s="1"/>
  <c r="H64" i="13" s="1"/>
  <c r="F78" i="13"/>
  <c r="G78" i="13" s="1"/>
  <c r="H78" i="13" s="1"/>
  <c r="F4" i="13"/>
  <c r="G4" i="13" s="1"/>
  <c r="H4" i="13" s="1"/>
  <c r="F14" i="13"/>
  <c r="G14" i="13" s="1"/>
  <c r="H14" i="13" s="1"/>
  <c r="D24" i="13"/>
  <c r="D34" i="13"/>
  <c r="F44" i="13"/>
  <c r="G44" i="13" s="1"/>
  <c r="H44" i="13" s="1"/>
  <c r="F55" i="13"/>
  <c r="G55" i="13" s="1"/>
  <c r="H55" i="13" s="1"/>
  <c r="F68" i="13"/>
  <c r="G68" i="13" s="1"/>
  <c r="H68" i="13" s="1"/>
  <c r="F81" i="13"/>
  <c r="G81" i="13" s="1"/>
  <c r="H81" i="13" s="1"/>
  <c r="D5" i="13"/>
  <c r="D15" i="13"/>
  <c r="F24" i="13"/>
  <c r="G24" i="13" s="1"/>
  <c r="H24" i="13" s="1"/>
  <c r="F34" i="13"/>
  <c r="G34" i="13" s="1"/>
  <c r="H34" i="13" s="1"/>
  <c r="F45" i="13"/>
  <c r="G45" i="13" s="1"/>
  <c r="H45" i="13" s="1"/>
  <c r="F56" i="13"/>
  <c r="G56" i="13" s="1"/>
  <c r="H56" i="13" s="1"/>
  <c r="D69" i="13"/>
  <c r="F82" i="13"/>
  <c r="G82" i="13" s="1"/>
  <c r="H82" i="13" s="1"/>
  <c r="D46" i="13"/>
  <c r="F69" i="13"/>
  <c r="G69" i="13" s="1"/>
  <c r="H69" i="13" s="1"/>
  <c r="F83" i="13"/>
  <c r="G83" i="13" s="1"/>
  <c r="H83" i="13" s="1"/>
  <c r="F6" i="13"/>
  <c r="G6" i="13" s="1"/>
  <c r="H6" i="13" s="1"/>
  <c r="D16" i="13"/>
  <c r="D26" i="13"/>
  <c r="F36" i="13"/>
  <c r="G36" i="13" s="1"/>
  <c r="H36" i="13" s="1"/>
  <c r="F46" i="13"/>
  <c r="G46" i="13" s="1"/>
  <c r="H46" i="13" s="1"/>
  <c r="D58" i="13"/>
  <c r="F70" i="13"/>
  <c r="G70" i="13" s="1"/>
  <c r="H70" i="13" s="1"/>
  <c r="F84" i="13"/>
  <c r="G84" i="13" s="1"/>
  <c r="H84" i="13" s="1"/>
  <c r="D7" i="13"/>
  <c r="F16" i="13"/>
  <c r="G16" i="13" s="1"/>
  <c r="H16" i="13" s="1"/>
  <c r="F26" i="13"/>
  <c r="G26" i="13" s="1"/>
  <c r="H26" i="13" s="1"/>
  <c r="D37" i="13"/>
  <c r="D47" i="13"/>
  <c r="F58" i="13"/>
  <c r="G58" i="13" s="1"/>
  <c r="H58" i="13" s="1"/>
  <c r="D90" i="13"/>
  <c r="D8" i="13"/>
  <c r="F17" i="13"/>
  <c r="G17" i="13" s="1"/>
  <c r="H17" i="13" s="1"/>
  <c r="F27" i="13"/>
  <c r="G27" i="13" s="1"/>
  <c r="H27" i="13" s="1"/>
  <c r="F38" i="13"/>
  <c r="G38" i="13" s="1"/>
  <c r="H38" i="13" s="1"/>
  <c r="D48" i="13"/>
  <c r="F59" i="13"/>
  <c r="G59" i="13" s="1"/>
  <c r="H59" i="13" s="1"/>
  <c r="F73" i="13"/>
  <c r="G73" i="13" s="1"/>
  <c r="H73" i="13" s="1"/>
  <c r="F95" i="13"/>
  <c r="G95" i="13" s="1"/>
  <c r="H95" i="13" s="1"/>
  <c r="F8" i="13"/>
  <c r="G8" i="13" s="1"/>
  <c r="H8" i="13" s="1"/>
  <c r="D18" i="13"/>
  <c r="F28" i="13"/>
  <c r="G28" i="13" s="1"/>
  <c r="H28" i="13" s="1"/>
  <c r="D39" i="13"/>
  <c r="F48" i="13"/>
  <c r="G48" i="13" s="1"/>
  <c r="H48" i="13" s="1"/>
  <c r="F60" i="13"/>
  <c r="G60" i="13" s="1"/>
  <c r="H60" i="13" s="1"/>
  <c r="D74" i="13"/>
  <c r="D30" i="13"/>
  <c r="D40" i="13"/>
  <c r="D50" i="13"/>
  <c r="D62" i="13"/>
  <c r="D75" i="13"/>
  <c r="F76" i="13"/>
  <c r="G76" i="13" s="1"/>
  <c r="H76" i="13" s="1"/>
  <c r="D21" i="13"/>
  <c r="D31" i="13"/>
  <c r="F63" i="13"/>
  <c r="G63" i="13" s="1"/>
  <c r="H63" i="13" s="1"/>
  <c r="F89" i="13"/>
  <c r="G89" i="13" s="1"/>
  <c r="H89" i="13" s="1"/>
  <c r="F90" i="13"/>
  <c r="G90" i="13" s="1"/>
  <c r="H90" i="13" s="1"/>
  <c r="D91" i="13"/>
  <c r="F91" i="13"/>
  <c r="G91" i="13" s="1"/>
  <c r="H91" i="13" s="1"/>
  <c r="F92" i="13"/>
  <c r="G92" i="13" s="1"/>
  <c r="H92" i="13" s="1"/>
  <c r="F93" i="13"/>
  <c r="G93" i="13" s="1"/>
  <c r="H93" i="13" s="1"/>
  <c r="D85" i="13"/>
  <c r="F86" i="13"/>
  <c r="G86" i="13" s="1"/>
  <c r="H86" i="13" s="1"/>
  <c r="F87" i="13"/>
  <c r="G87" i="13" s="1"/>
  <c r="H87" i="13" s="1"/>
  <c r="F88" i="13"/>
  <c r="G88" i="13" s="1"/>
  <c r="H88" i="13" s="1"/>
  <c r="D17" i="7"/>
  <c r="D21" i="7"/>
  <c r="D22" i="7"/>
  <c r="D54" i="7"/>
  <c r="D9" i="7"/>
  <c r="D11" i="7"/>
  <c r="D30" i="7"/>
  <c r="D69" i="12"/>
  <c r="D81" i="12"/>
  <c r="D65" i="12"/>
  <c r="D49" i="12"/>
  <c r="D33" i="12"/>
  <c r="D17" i="12"/>
  <c r="D80" i="12"/>
  <c r="D64" i="12"/>
  <c r="D48" i="12"/>
  <c r="D32" i="12"/>
  <c r="D16" i="12"/>
  <c r="D95" i="12"/>
  <c r="D79" i="12"/>
  <c r="D63" i="12"/>
  <c r="D47" i="12"/>
  <c r="D31" i="12"/>
  <c r="D15" i="12"/>
  <c r="D94" i="12"/>
  <c r="D78" i="12"/>
  <c r="D62" i="12"/>
  <c r="D46" i="12"/>
  <c r="D30" i="12"/>
  <c r="D14" i="12"/>
  <c r="D93" i="12"/>
  <c r="D77" i="12"/>
  <c r="D61" i="12"/>
  <c r="D45" i="12"/>
  <c r="D29" i="12"/>
  <c r="D13" i="12"/>
  <c r="D92" i="12"/>
  <c r="D76" i="12"/>
  <c r="D60" i="12"/>
  <c r="D44" i="12"/>
  <c r="D28" i="12"/>
  <c r="D12" i="12"/>
  <c r="D91" i="12"/>
  <c r="D75" i="12"/>
  <c r="D59" i="12"/>
  <c r="D43" i="12"/>
  <c r="D27" i="12"/>
  <c r="D11" i="12"/>
  <c r="D90" i="12"/>
  <c r="D74" i="12"/>
  <c r="D58" i="12"/>
  <c r="D42" i="12"/>
  <c r="D26" i="12"/>
  <c r="D10" i="12"/>
  <c r="D89" i="12"/>
  <c r="D73" i="12"/>
  <c r="D57" i="12"/>
  <c r="D41" i="12"/>
  <c r="D25" i="12"/>
  <c r="D9" i="12"/>
  <c r="D88" i="12"/>
  <c r="D72" i="12"/>
  <c r="D56" i="12"/>
  <c r="D40" i="12"/>
  <c r="D24" i="12"/>
  <c r="D8" i="12"/>
  <c r="D87" i="12"/>
  <c r="D71" i="12"/>
  <c r="D55" i="12"/>
  <c r="D39" i="12"/>
  <c r="D23" i="12"/>
  <c r="D7" i="12"/>
  <c r="D86" i="12"/>
  <c r="D70" i="12"/>
  <c r="D54" i="12"/>
  <c r="D38" i="12"/>
  <c r="D22" i="12"/>
  <c r="D6" i="12"/>
  <c r="D85" i="12"/>
  <c r="D53" i="12"/>
  <c r="D37" i="12"/>
  <c r="D21" i="12"/>
  <c r="D5" i="12"/>
  <c r="D84" i="12"/>
  <c r="D68" i="12"/>
  <c r="D52" i="12"/>
  <c r="D36" i="12"/>
  <c r="D20" i="12"/>
  <c r="D4" i="12"/>
  <c r="D83" i="12"/>
  <c r="D67" i="12"/>
  <c r="D51" i="12"/>
  <c r="D35" i="12"/>
  <c r="D19" i="12"/>
  <c r="D3" i="12"/>
  <c r="D82" i="12"/>
  <c r="D66" i="12"/>
  <c r="D50" i="12"/>
  <c r="D34" i="12"/>
  <c r="D18" i="12"/>
  <c r="D22" i="11"/>
  <c r="D54" i="11"/>
  <c r="D35" i="11"/>
  <c r="D67" i="11"/>
  <c r="D18" i="11"/>
  <c r="D41" i="11"/>
  <c r="D9" i="11"/>
  <c r="D42" i="11"/>
  <c r="D85" i="11"/>
  <c r="D11" i="11"/>
  <c r="D81" i="11"/>
  <c r="D9" i="10"/>
  <c r="D18" i="10"/>
  <c r="D26" i="10"/>
  <c r="D39" i="10"/>
  <c r="D10" i="10"/>
  <c r="D19" i="10"/>
  <c r="D27" i="10"/>
  <c r="D40" i="10"/>
  <c r="D78" i="10"/>
  <c r="D4" i="10"/>
  <c r="D29" i="10"/>
  <c r="D21" i="10"/>
  <c r="D30" i="10"/>
  <c r="D43" i="10"/>
  <c r="D44" i="10"/>
  <c r="D6" i="10"/>
  <c r="D14" i="10"/>
  <c r="D23" i="10"/>
  <c r="D32" i="10"/>
  <c r="D66" i="10"/>
  <c r="D51" i="10"/>
  <c r="D7" i="10"/>
  <c r="D15" i="10"/>
  <c r="D24" i="10"/>
  <c r="D33" i="10"/>
  <c r="D52" i="10"/>
  <c r="D67" i="10"/>
  <c r="D16" i="10"/>
  <c r="D8" i="10"/>
  <c r="D25" i="10"/>
  <c r="D34" i="10"/>
  <c r="D9" i="9"/>
  <c r="D50" i="9"/>
  <c r="D70" i="9"/>
  <c r="D28" i="9"/>
  <c r="D51" i="9"/>
  <c r="D25" i="9"/>
  <c r="D12" i="9"/>
  <c r="D53" i="9"/>
  <c r="D15" i="9"/>
  <c r="D16" i="9"/>
  <c r="D54" i="9"/>
  <c r="D35" i="9"/>
  <c r="D83" i="9"/>
  <c r="D2" i="9"/>
  <c r="D18" i="9"/>
  <c r="D37" i="9"/>
  <c r="D57" i="9"/>
  <c r="D85" i="9"/>
  <c r="D3" i="9"/>
  <c r="D19" i="9"/>
  <c r="D38" i="9"/>
  <c r="D5" i="9"/>
  <c r="D21" i="9"/>
  <c r="D60" i="9"/>
  <c r="D6" i="9"/>
  <c r="D22" i="9"/>
  <c r="D81" i="9"/>
  <c r="D8" i="9"/>
  <c r="D47" i="9"/>
  <c r="D41" i="8"/>
  <c r="D91" i="8"/>
  <c r="D31" i="8"/>
  <c r="D11" i="8"/>
  <c r="D73" i="8"/>
  <c r="D95" i="8"/>
  <c r="D3" i="8"/>
  <c r="D12" i="8"/>
  <c r="D23" i="8"/>
  <c r="D34" i="8"/>
  <c r="D4" i="8"/>
  <c r="D35" i="8"/>
  <c r="D45" i="8"/>
  <c r="D57" i="8"/>
  <c r="D67" i="8"/>
  <c r="D81" i="8"/>
  <c r="D15" i="8"/>
  <c r="D26" i="8"/>
  <c r="D46" i="8"/>
  <c r="D82" i="8"/>
  <c r="D5" i="8"/>
  <c r="D58" i="8"/>
  <c r="D68" i="8"/>
  <c r="D27" i="8"/>
  <c r="D38" i="8"/>
  <c r="D83" i="8"/>
  <c r="D18" i="8"/>
  <c r="D39" i="8"/>
  <c r="D49" i="8"/>
  <c r="D84" i="8"/>
  <c r="D8" i="8"/>
  <c r="D60" i="8"/>
  <c r="D19" i="8"/>
  <c r="D30" i="8"/>
  <c r="D40" i="8"/>
  <c r="D72" i="8"/>
  <c r="D69" i="5"/>
  <c r="D73" i="5"/>
  <c r="D39" i="5"/>
  <c r="D81" i="5"/>
  <c r="D62" i="5"/>
  <c r="D41" i="5"/>
  <c r="D84" i="5"/>
  <c r="D42" i="5"/>
  <c r="D54" i="5"/>
  <c r="D55" i="5"/>
  <c r="D68" i="5"/>
  <c r="D85" i="5"/>
  <c r="D44" i="5"/>
  <c r="F94" i="13"/>
  <c r="G94" i="13" s="1"/>
  <c r="H94" i="13" s="1"/>
  <c r="F85" i="13"/>
  <c r="G85" i="13" s="1"/>
  <c r="H85" i="13" s="1"/>
  <c r="F67" i="13"/>
  <c r="G67" i="13" s="1"/>
  <c r="H67" i="13" s="1"/>
  <c r="F75" i="13"/>
  <c r="G75" i="13" s="1"/>
  <c r="H75" i="13" s="1"/>
  <c r="D78" i="13"/>
  <c r="D94" i="13"/>
  <c r="D32" i="13"/>
  <c r="D55" i="13"/>
  <c r="D63" i="13"/>
  <c r="D71" i="13"/>
  <c r="D79" i="13"/>
  <c r="D87" i="13"/>
  <c r="D64" i="13"/>
  <c r="D80" i="13"/>
  <c r="D49" i="13"/>
  <c r="D56" i="13"/>
  <c r="D72" i="13"/>
  <c r="D88" i="13"/>
  <c r="D66" i="13"/>
  <c r="D82" i="13"/>
  <c r="D95" i="13"/>
  <c r="D12" i="13"/>
  <c r="D28" i="13"/>
  <c r="D44" i="13"/>
  <c r="D60" i="13"/>
  <c r="D76" i="13"/>
  <c r="D92" i="13"/>
  <c r="D9" i="13"/>
  <c r="D25" i="13"/>
  <c r="D41" i="13"/>
  <c r="D57" i="13"/>
  <c r="D73" i="13"/>
  <c r="D89" i="13"/>
  <c r="D6" i="13"/>
  <c r="D22" i="13"/>
  <c r="D38" i="13"/>
  <c r="D54" i="13"/>
  <c r="D70" i="13"/>
  <c r="D86" i="13"/>
  <c r="D3" i="13"/>
  <c r="D19" i="13"/>
  <c r="D35" i="13"/>
  <c r="D51" i="13"/>
  <c r="D67" i="13"/>
  <c r="D83" i="13"/>
  <c r="D13" i="13"/>
  <c r="D29" i="13"/>
  <c r="D45" i="13"/>
  <c r="D61" i="13"/>
  <c r="D77" i="13"/>
  <c r="D93" i="13"/>
  <c r="D4" i="13"/>
  <c r="D20" i="13"/>
  <c r="D36" i="13"/>
  <c r="D52" i="13"/>
  <c r="D68" i="13"/>
  <c r="F34" i="12"/>
  <c r="G34" i="12" s="1"/>
  <c r="H34" i="12" s="1"/>
  <c r="F59" i="12"/>
  <c r="G59" i="12" s="1"/>
  <c r="H59" i="12" s="1"/>
  <c r="F61" i="12"/>
  <c r="G61" i="12" s="1"/>
  <c r="H61" i="12" s="1"/>
  <c r="F62" i="12"/>
  <c r="G62" i="12" s="1"/>
  <c r="H62" i="12" s="1"/>
  <c r="F9" i="12"/>
  <c r="G9" i="12" s="1"/>
  <c r="H9" i="12" s="1"/>
  <c r="F21" i="12"/>
  <c r="G21" i="12" s="1"/>
  <c r="H21" i="12" s="1"/>
  <c r="F39" i="12"/>
  <c r="G39" i="12" s="1"/>
  <c r="H39" i="12" s="1"/>
  <c r="F64" i="12"/>
  <c r="G64" i="12" s="1"/>
  <c r="H64" i="12" s="1"/>
  <c r="F22" i="12"/>
  <c r="G22" i="12" s="1"/>
  <c r="H22" i="12" s="1"/>
  <c r="F40" i="12"/>
  <c r="G40" i="12" s="1"/>
  <c r="H40" i="12" s="1"/>
  <c r="F2" i="12"/>
  <c r="G2" i="12" s="1"/>
  <c r="H2" i="12" s="1"/>
  <c r="F10" i="12"/>
  <c r="G10" i="12" s="1"/>
  <c r="H10" i="12" s="1"/>
  <c r="F23" i="12"/>
  <c r="G23" i="12" s="1"/>
  <c r="H23" i="12" s="1"/>
  <c r="F11" i="12"/>
  <c r="G11" i="12" s="1"/>
  <c r="H11" i="12" s="1"/>
  <c r="F24" i="12"/>
  <c r="G24" i="12" s="1"/>
  <c r="H24" i="12" s="1"/>
  <c r="F42" i="12"/>
  <c r="G42" i="12" s="1"/>
  <c r="H42" i="12" s="1"/>
  <c r="F75" i="12"/>
  <c r="G75" i="12" s="1"/>
  <c r="H75" i="12" s="1"/>
  <c r="F3" i="12"/>
  <c r="G3" i="12" s="1"/>
  <c r="H3" i="12" s="1"/>
  <c r="F77" i="12"/>
  <c r="G77" i="12" s="1"/>
  <c r="H77" i="12" s="1"/>
  <c r="F25" i="12"/>
  <c r="G25" i="12" s="1"/>
  <c r="H25" i="12" s="1"/>
  <c r="F43" i="12"/>
  <c r="G43" i="12" s="1"/>
  <c r="H43" i="12" s="1"/>
  <c r="F80" i="12"/>
  <c r="G80" i="12" s="1"/>
  <c r="H80" i="12" s="1"/>
  <c r="G4" i="12"/>
  <c r="H4" i="12" s="1"/>
  <c r="F13" i="12"/>
  <c r="G13" i="12" s="1"/>
  <c r="H13" i="12" s="1"/>
  <c r="F26" i="12"/>
  <c r="G26" i="12" s="1"/>
  <c r="H26" i="12" s="1"/>
  <c r="F45" i="12"/>
  <c r="G45" i="12" s="1"/>
  <c r="H45" i="12" s="1"/>
  <c r="F94" i="12"/>
  <c r="G94" i="12" s="1"/>
  <c r="H94" i="12" s="1"/>
  <c r="F29" i="12"/>
  <c r="G29" i="12" s="1"/>
  <c r="H29" i="12" s="1"/>
  <c r="F51" i="12"/>
  <c r="G51" i="12" s="1"/>
  <c r="H51" i="12" s="1"/>
  <c r="F54" i="12"/>
  <c r="G54" i="12" s="1"/>
  <c r="H54" i="12" s="1"/>
  <c r="F78" i="12"/>
  <c r="G78" i="12" s="1"/>
  <c r="H78" i="12" s="1"/>
  <c r="F83" i="12"/>
  <c r="G83" i="12" s="1"/>
  <c r="H83" i="12" s="1"/>
  <c r="F90" i="12"/>
  <c r="G90" i="12" s="1"/>
  <c r="H90" i="12" s="1"/>
  <c r="F12" i="12"/>
  <c r="G12" i="12" s="1"/>
  <c r="H12" i="12" s="1"/>
  <c r="F19" i="12"/>
  <c r="G19" i="12" s="1"/>
  <c r="H19" i="12" s="1"/>
  <c r="F27" i="12"/>
  <c r="G27" i="12" s="1"/>
  <c r="H27" i="12" s="1"/>
  <c r="F37" i="12"/>
  <c r="G37" i="12" s="1"/>
  <c r="H37" i="12" s="1"/>
  <c r="F46" i="12"/>
  <c r="G46" i="12" s="1"/>
  <c r="H46" i="12" s="1"/>
  <c r="F67" i="12"/>
  <c r="G67" i="12" s="1"/>
  <c r="H67" i="12" s="1"/>
  <c r="F28" i="12"/>
  <c r="G28" i="12" s="1"/>
  <c r="H28" i="12" s="1"/>
  <c r="F48" i="12"/>
  <c r="G48" i="12" s="1"/>
  <c r="H48" i="12" s="1"/>
  <c r="F87" i="12"/>
  <c r="G87" i="12" s="1"/>
  <c r="H87" i="12" s="1"/>
  <c r="F20" i="12"/>
  <c r="G20" i="12" s="1"/>
  <c r="H20" i="12" s="1"/>
  <c r="F70" i="12"/>
  <c r="G70" i="12" s="1"/>
  <c r="H70" i="12" s="1"/>
  <c r="F91" i="12"/>
  <c r="G91" i="12" s="1"/>
  <c r="H91" i="12" s="1"/>
  <c r="F15" i="12"/>
  <c r="G15" i="12" s="1"/>
  <c r="H15" i="12" s="1"/>
  <c r="F31" i="12"/>
  <c r="G31" i="12" s="1"/>
  <c r="H31" i="12" s="1"/>
  <c r="F41" i="12"/>
  <c r="G41" i="12" s="1"/>
  <c r="H41" i="12" s="1"/>
  <c r="F71" i="12"/>
  <c r="G71" i="12" s="1"/>
  <c r="H71" i="12" s="1"/>
  <c r="F74" i="12"/>
  <c r="G74" i="12" s="1"/>
  <c r="H74" i="12" s="1"/>
  <c r="F49" i="12"/>
  <c r="G49" i="12" s="1"/>
  <c r="H49" i="12" s="1"/>
  <c r="F65" i="12"/>
  <c r="G65" i="12" s="1"/>
  <c r="H65" i="12" s="1"/>
  <c r="F81" i="12"/>
  <c r="G81" i="12" s="1"/>
  <c r="H81" i="12" s="1"/>
  <c r="F56" i="12"/>
  <c r="G56" i="12" s="1"/>
  <c r="H56" i="12" s="1"/>
  <c r="F72" i="12"/>
  <c r="G72" i="12" s="1"/>
  <c r="H72" i="12" s="1"/>
  <c r="F88" i="12"/>
  <c r="G88" i="12" s="1"/>
  <c r="H88" i="12" s="1"/>
  <c r="F53" i="12"/>
  <c r="G53" i="12" s="1"/>
  <c r="H53" i="12" s="1"/>
  <c r="F69" i="12"/>
  <c r="G69" i="12" s="1"/>
  <c r="H69" i="12" s="1"/>
  <c r="F85" i="12"/>
  <c r="G85" i="12" s="1"/>
  <c r="H85" i="12" s="1"/>
  <c r="F50" i="12"/>
  <c r="G50" i="12" s="1"/>
  <c r="H50" i="12" s="1"/>
  <c r="F66" i="12"/>
  <c r="G66" i="12" s="1"/>
  <c r="H66" i="12" s="1"/>
  <c r="F82" i="12"/>
  <c r="G82" i="12" s="1"/>
  <c r="H82" i="12" s="1"/>
  <c r="F47" i="12"/>
  <c r="G47" i="12" s="1"/>
  <c r="H47" i="12" s="1"/>
  <c r="F63" i="12"/>
  <c r="G63" i="12" s="1"/>
  <c r="H63" i="12" s="1"/>
  <c r="F79" i="12"/>
  <c r="G79" i="12" s="1"/>
  <c r="H79" i="12" s="1"/>
  <c r="F95" i="12"/>
  <c r="G95" i="12" s="1"/>
  <c r="H95" i="12" s="1"/>
  <c r="F44" i="12"/>
  <c r="G44" i="12" s="1"/>
  <c r="H44" i="12" s="1"/>
  <c r="F60" i="12"/>
  <c r="G60" i="12" s="1"/>
  <c r="H60" i="12" s="1"/>
  <c r="F76" i="12"/>
  <c r="G76" i="12" s="1"/>
  <c r="H76" i="12" s="1"/>
  <c r="F92" i="12"/>
  <c r="G92" i="12" s="1"/>
  <c r="H92" i="12" s="1"/>
  <c r="F57" i="12"/>
  <c r="G57" i="12" s="1"/>
  <c r="H57" i="12" s="1"/>
  <c r="F73" i="12"/>
  <c r="G73" i="12" s="1"/>
  <c r="H73" i="12" s="1"/>
  <c r="F89" i="12"/>
  <c r="G89" i="12" s="1"/>
  <c r="H89" i="12" s="1"/>
  <c r="F86" i="12"/>
  <c r="G86" i="12" s="1"/>
  <c r="H86" i="12" s="1"/>
  <c r="F93" i="12"/>
  <c r="G93" i="12" s="1"/>
  <c r="H93" i="12" s="1"/>
  <c r="F52" i="12"/>
  <c r="G52" i="12" s="1"/>
  <c r="H52" i="12" s="1"/>
  <c r="F68" i="12"/>
  <c r="G68" i="12" s="1"/>
  <c r="H68" i="12" s="1"/>
  <c r="D23" i="11"/>
  <c r="D48" i="11"/>
  <c r="D73" i="11"/>
  <c r="D49" i="11"/>
  <c r="D75" i="11"/>
  <c r="D50" i="11"/>
  <c r="D76" i="11"/>
  <c r="D3" i="11"/>
  <c r="D29" i="11"/>
  <c r="D8" i="11"/>
  <c r="F52" i="11"/>
  <c r="G52" i="11" s="1"/>
  <c r="H52" i="11" s="1"/>
  <c r="F83" i="11"/>
  <c r="G83" i="11" s="1"/>
  <c r="H83" i="11" s="1"/>
  <c r="D10" i="11"/>
  <c r="D55" i="11"/>
  <c r="F87" i="11"/>
  <c r="G87" i="11" s="1"/>
  <c r="H87" i="11" s="1"/>
  <c r="D16" i="11"/>
  <c r="D61" i="11"/>
  <c r="D43" i="11"/>
  <c r="F2" i="11"/>
  <c r="G2" i="11" s="1"/>
  <c r="H2" i="11" s="1"/>
  <c r="F9" i="11"/>
  <c r="G9" i="11" s="1"/>
  <c r="H9" i="11" s="1"/>
  <c r="F18" i="11"/>
  <c r="G18" i="11" s="1"/>
  <c r="H18" i="11" s="1"/>
  <c r="F26" i="11"/>
  <c r="G26" i="11" s="1"/>
  <c r="H26" i="11" s="1"/>
  <c r="F45" i="11"/>
  <c r="G45" i="11" s="1"/>
  <c r="H45" i="11" s="1"/>
  <c r="F62" i="11"/>
  <c r="G62" i="11" s="1"/>
  <c r="H62" i="11" s="1"/>
  <c r="F27" i="11"/>
  <c r="G27" i="11" s="1"/>
  <c r="H27" i="11" s="1"/>
  <c r="F36" i="11"/>
  <c r="G36" i="11" s="1"/>
  <c r="H36" i="11" s="1"/>
  <c r="F53" i="11"/>
  <c r="G53" i="11" s="1"/>
  <c r="H53" i="11" s="1"/>
  <c r="F63" i="11"/>
  <c r="G63" i="11" s="1"/>
  <c r="H63" i="11" s="1"/>
  <c r="F71" i="11"/>
  <c r="G71" i="11" s="1"/>
  <c r="H71" i="11" s="1"/>
  <c r="F85" i="11"/>
  <c r="G85" i="11" s="1"/>
  <c r="H85" i="11" s="1"/>
  <c r="F10" i="11"/>
  <c r="G10" i="11" s="1"/>
  <c r="H10" i="11" s="1"/>
  <c r="F28" i="11"/>
  <c r="G28" i="11" s="1"/>
  <c r="H28" i="11" s="1"/>
  <c r="F46" i="11"/>
  <c r="G46" i="11" s="1"/>
  <c r="H46" i="11" s="1"/>
  <c r="F72" i="11"/>
  <c r="G72" i="11" s="1"/>
  <c r="H72" i="11" s="1"/>
  <c r="F3" i="11"/>
  <c r="G3" i="11" s="1"/>
  <c r="H3" i="11" s="1"/>
  <c r="F11" i="11"/>
  <c r="G11" i="11" s="1"/>
  <c r="H11" i="11" s="1"/>
  <c r="F29" i="11"/>
  <c r="G29" i="11" s="1"/>
  <c r="H29" i="11" s="1"/>
  <c r="F38" i="11"/>
  <c r="G38" i="11" s="1"/>
  <c r="H38" i="11" s="1"/>
  <c r="F65" i="11"/>
  <c r="G65" i="11" s="1"/>
  <c r="H65" i="11" s="1"/>
  <c r="F74" i="11"/>
  <c r="G74" i="11" s="1"/>
  <c r="H74" i="11" s="1"/>
  <c r="F88" i="11"/>
  <c r="G88" i="11" s="1"/>
  <c r="H88" i="11" s="1"/>
  <c r="F12" i="11"/>
  <c r="G12" i="11" s="1"/>
  <c r="H12" i="11" s="1"/>
  <c r="F20" i="11"/>
  <c r="G20" i="11" s="1"/>
  <c r="H20" i="11" s="1"/>
  <c r="F66" i="11"/>
  <c r="G66" i="11" s="1"/>
  <c r="H66" i="11" s="1"/>
  <c r="F90" i="11"/>
  <c r="G90" i="11" s="1"/>
  <c r="H90" i="11" s="1"/>
  <c r="F4" i="11"/>
  <c r="G4" i="11" s="1"/>
  <c r="H4" i="11" s="1"/>
  <c r="F13" i="11"/>
  <c r="G13" i="11" s="1"/>
  <c r="H13" i="11" s="1"/>
  <c r="F30" i="11"/>
  <c r="G30" i="11" s="1"/>
  <c r="H30" i="11" s="1"/>
  <c r="F48" i="11"/>
  <c r="G48" i="11" s="1"/>
  <c r="H48" i="11" s="1"/>
  <c r="F75" i="11"/>
  <c r="G75" i="11" s="1"/>
  <c r="H75" i="11" s="1"/>
  <c r="F91" i="11"/>
  <c r="G91" i="11" s="1"/>
  <c r="H91" i="11" s="1"/>
  <c r="F21" i="11"/>
  <c r="G21" i="11" s="1"/>
  <c r="H21" i="11" s="1"/>
  <c r="F31" i="11"/>
  <c r="G31" i="11" s="1"/>
  <c r="H31" i="11" s="1"/>
  <c r="F39" i="11"/>
  <c r="G39" i="11" s="1"/>
  <c r="H39" i="11" s="1"/>
  <c r="F55" i="11"/>
  <c r="G55" i="11" s="1"/>
  <c r="H55" i="11" s="1"/>
  <c r="F92" i="11"/>
  <c r="G92" i="11" s="1"/>
  <c r="H92" i="11" s="1"/>
  <c r="F5" i="11"/>
  <c r="G5" i="11" s="1"/>
  <c r="H5" i="11" s="1"/>
  <c r="F14" i="11"/>
  <c r="G14" i="11" s="1"/>
  <c r="H14" i="11" s="1"/>
  <c r="F40" i="11"/>
  <c r="G40" i="11" s="1"/>
  <c r="H40" i="11" s="1"/>
  <c r="F49" i="11"/>
  <c r="G49" i="11" s="1"/>
  <c r="H49" i="11" s="1"/>
  <c r="F56" i="11"/>
  <c r="G56" i="11" s="1"/>
  <c r="H56" i="11" s="1"/>
  <c r="F76" i="11"/>
  <c r="G76" i="11" s="1"/>
  <c r="H76" i="11" s="1"/>
  <c r="F94" i="11"/>
  <c r="G94" i="11" s="1"/>
  <c r="H94" i="11" s="1"/>
  <c r="F6" i="11"/>
  <c r="G6" i="11" s="1"/>
  <c r="H6" i="11" s="1"/>
  <c r="F15" i="11"/>
  <c r="G15" i="11" s="1"/>
  <c r="H15" i="11" s="1"/>
  <c r="F22" i="11"/>
  <c r="G22" i="11" s="1"/>
  <c r="H22" i="11" s="1"/>
  <c r="F32" i="11"/>
  <c r="G32" i="11" s="1"/>
  <c r="H32" i="11" s="1"/>
  <c r="F57" i="11"/>
  <c r="G57" i="11" s="1"/>
  <c r="H57" i="11" s="1"/>
  <c r="F67" i="11"/>
  <c r="G67" i="11" s="1"/>
  <c r="H67" i="11" s="1"/>
  <c r="F78" i="11"/>
  <c r="G78" i="11" s="1"/>
  <c r="H78" i="11" s="1"/>
  <c r="F34" i="11"/>
  <c r="G34" i="11" s="1"/>
  <c r="H34" i="11" s="1"/>
  <c r="F59" i="11"/>
  <c r="G59" i="11" s="1"/>
  <c r="H59" i="11" s="1"/>
  <c r="F68" i="11"/>
  <c r="G68" i="11" s="1"/>
  <c r="H68" i="11" s="1"/>
  <c r="F7" i="11"/>
  <c r="G7" i="11" s="1"/>
  <c r="H7" i="11" s="1"/>
  <c r="F16" i="11"/>
  <c r="G16" i="11" s="1"/>
  <c r="H16" i="11" s="1"/>
  <c r="F42" i="11"/>
  <c r="G42" i="11" s="1"/>
  <c r="H42" i="11" s="1"/>
  <c r="F60" i="11"/>
  <c r="G60" i="11" s="1"/>
  <c r="H60" i="11" s="1"/>
  <c r="F80" i="11"/>
  <c r="G80" i="11" s="1"/>
  <c r="H80" i="11" s="1"/>
  <c r="D31" i="11"/>
  <c r="D63" i="11"/>
  <c r="D5" i="11"/>
  <c r="D12" i="11"/>
  <c r="D24" i="11"/>
  <c r="D37" i="11"/>
  <c r="D44" i="11"/>
  <c r="D56" i="11"/>
  <c r="D69" i="11"/>
  <c r="D77" i="11"/>
  <c r="D88" i="11"/>
  <c r="D78" i="11"/>
  <c r="D6" i="11"/>
  <c r="D13" i="11"/>
  <c r="D19" i="11"/>
  <c r="D25" i="11"/>
  <c r="D32" i="11"/>
  <c r="D38" i="11"/>
  <c r="D45" i="11"/>
  <c r="D51" i="11"/>
  <c r="D57" i="11"/>
  <c r="D64" i="11"/>
  <c r="D70" i="11"/>
  <c r="D89" i="11"/>
  <c r="D26" i="11"/>
  <c r="D33" i="11"/>
  <c r="D58" i="11"/>
  <c r="D65" i="11"/>
  <c r="D91" i="11"/>
  <c r="D14" i="11"/>
  <c r="D20" i="11"/>
  <c r="D46" i="11"/>
  <c r="D52" i="11"/>
  <c r="D80" i="11"/>
  <c r="D2" i="11"/>
  <c r="D7" i="11"/>
  <c r="D27" i="11"/>
  <c r="D34" i="11"/>
  <c r="D39" i="11"/>
  <c r="D59" i="11"/>
  <c r="D66" i="11"/>
  <c r="D71" i="11"/>
  <c r="D15" i="11"/>
  <c r="D47" i="11"/>
  <c r="D93" i="11"/>
  <c r="D21" i="11"/>
  <c r="D28" i="11"/>
  <c r="D40" i="11"/>
  <c r="D53" i="11"/>
  <c r="D60" i="11"/>
  <c r="D72" i="11"/>
  <c r="D82" i="11"/>
  <c r="D94" i="11"/>
  <c r="D84" i="11"/>
  <c r="D4" i="11"/>
  <c r="D30" i="11"/>
  <c r="D36" i="11"/>
  <c r="D62" i="11"/>
  <c r="D68" i="11"/>
  <c r="D79" i="11"/>
  <c r="F82" i="11"/>
  <c r="G82" i="11" s="1"/>
  <c r="H82" i="11" s="1"/>
  <c r="D95" i="11"/>
  <c r="D92" i="11"/>
  <c r="F95" i="11"/>
  <c r="G95" i="11" s="1"/>
  <c r="H95" i="11" s="1"/>
  <c r="F73" i="11"/>
  <c r="G73" i="11" s="1"/>
  <c r="H73" i="11" s="1"/>
  <c r="D86" i="11"/>
  <c r="F89" i="11"/>
  <c r="G89" i="11" s="1"/>
  <c r="H89" i="11" s="1"/>
  <c r="D83" i="11"/>
  <c r="F86" i="11"/>
  <c r="G86" i="11" s="1"/>
  <c r="H86" i="11" s="1"/>
  <c r="D74" i="11"/>
  <c r="F77" i="11"/>
  <c r="G77" i="11" s="1"/>
  <c r="H77" i="11" s="1"/>
  <c r="D90" i="11"/>
  <c r="F93" i="11"/>
  <c r="G93" i="11" s="1"/>
  <c r="H93" i="11" s="1"/>
  <c r="F82" i="10"/>
  <c r="G82" i="10" s="1"/>
  <c r="H82" i="10" s="1"/>
  <c r="F83" i="10"/>
  <c r="G83" i="10" s="1"/>
  <c r="H83" i="10" s="1"/>
  <c r="F45" i="10"/>
  <c r="G45" i="10" s="1"/>
  <c r="H45" i="10" s="1"/>
  <c r="F58" i="10"/>
  <c r="G58" i="10" s="1"/>
  <c r="H58" i="10" s="1"/>
  <c r="F68" i="10"/>
  <c r="G68" i="10" s="1"/>
  <c r="H68" i="10" s="1"/>
  <c r="D84" i="10"/>
  <c r="F35" i="10"/>
  <c r="G35" i="10" s="1"/>
  <c r="H35" i="10" s="1"/>
  <c r="F47" i="10"/>
  <c r="G47" i="10" s="1"/>
  <c r="H47" i="10" s="1"/>
  <c r="D59" i="10"/>
  <c r="D69" i="10"/>
  <c r="F85" i="10"/>
  <c r="G85" i="10" s="1"/>
  <c r="H85" i="10" s="1"/>
  <c r="F48" i="10"/>
  <c r="G48" i="10" s="1"/>
  <c r="H48" i="10" s="1"/>
  <c r="F60" i="10"/>
  <c r="G60" i="10" s="1"/>
  <c r="H60" i="10" s="1"/>
  <c r="F69" i="10"/>
  <c r="G69" i="10" s="1"/>
  <c r="H69" i="10" s="1"/>
  <c r="D87" i="10"/>
  <c r="D36" i="10"/>
  <c r="D49" i="10"/>
  <c r="D61" i="10"/>
  <c r="D70" i="10"/>
  <c r="D88" i="10"/>
  <c r="D37" i="10"/>
  <c r="F49" i="10"/>
  <c r="G49" i="10" s="1"/>
  <c r="H49" i="10" s="1"/>
  <c r="F61" i="10"/>
  <c r="G61" i="10" s="1"/>
  <c r="H61" i="10" s="1"/>
  <c r="D71" i="10"/>
  <c r="D90" i="10"/>
  <c r="F38" i="10"/>
  <c r="G38" i="10" s="1"/>
  <c r="H38" i="10" s="1"/>
  <c r="D50" i="10"/>
  <c r="D62" i="10"/>
  <c r="D72" i="10"/>
  <c r="D91" i="10"/>
  <c r="F74" i="10"/>
  <c r="G74" i="10" s="1"/>
  <c r="H74" i="10" s="1"/>
  <c r="F34" i="10"/>
  <c r="G34" i="10" s="1"/>
  <c r="H34" i="10" s="1"/>
  <c r="F51" i="10"/>
  <c r="G51" i="10" s="1"/>
  <c r="H51" i="10" s="1"/>
  <c r="F59" i="10"/>
  <c r="G59" i="10" s="1"/>
  <c r="H59" i="10" s="1"/>
  <c r="F76" i="10"/>
  <c r="G76" i="10" s="1"/>
  <c r="H76" i="10" s="1"/>
  <c r="F88" i="10"/>
  <c r="G88" i="10" s="1"/>
  <c r="H88" i="10" s="1"/>
  <c r="F77" i="10"/>
  <c r="G77" i="10" s="1"/>
  <c r="H77" i="10" s="1"/>
  <c r="F42" i="10"/>
  <c r="G42" i="10" s="1"/>
  <c r="H42" i="10" s="1"/>
  <c r="F90" i="10"/>
  <c r="G90" i="10" s="1"/>
  <c r="H90" i="10" s="1"/>
  <c r="F78" i="10"/>
  <c r="G78" i="10" s="1"/>
  <c r="H78" i="10" s="1"/>
  <c r="F91" i="10"/>
  <c r="G91" i="10" s="1"/>
  <c r="H91" i="10" s="1"/>
  <c r="F21" i="10"/>
  <c r="G21" i="10" s="1"/>
  <c r="H21" i="10" s="1"/>
  <c r="F28" i="10"/>
  <c r="G28" i="10" s="1"/>
  <c r="H28" i="10" s="1"/>
  <c r="F36" i="10"/>
  <c r="G36" i="10" s="1"/>
  <c r="H36" i="10" s="1"/>
  <c r="F53" i="10"/>
  <c r="G53" i="10" s="1"/>
  <c r="H53" i="10" s="1"/>
  <c r="F62" i="10"/>
  <c r="G62" i="10" s="1"/>
  <c r="H62" i="10" s="1"/>
  <c r="F79" i="10"/>
  <c r="G79" i="10" s="1"/>
  <c r="H79" i="10" s="1"/>
  <c r="F94" i="10"/>
  <c r="G94" i="10" s="1"/>
  <c r="H94" i="10" s="1"/>
  <c r="F44" i="10"/>
  <c r="G44" i="10" s="1"/>
  <c r="H44" i="10" s="1"/>
  <c r="F54" i="10"/>
  <c r="G54" i="10" s="1"/>
  <c r="H54" i="10" s="1"/>
  <c r="F70" i="10"/>
  <c r="G70" i="10" s="1"/>
  <c r="H70" i="10" s="1"/>
  <c r="F15" i="10"/>
  <c r="G15" i="10" s="1"/>
  <c r="H15" i="10" s="1"/>
  <c r="F37" i="10"/>
  <c r="G37" i="10" s="1"/>
  <c r="H37" i="10" s="1"/>
  <c r="F46" i="10"/>
  <c r="G46" i="10" s="1"/>
  <c r="H46" i="10" s="1"/>
  <c r="F71" i="10"/>
  <c r="G71" i="10" s="1"/>
  <c r="H71" i="10" s="1"/>
  <c r="F81" i="10"/>
  <c r="G81" i="10" s="1"/>
  <c r="H81" i="10" s="1"/>
  <c r="D81" i="10"/>
  <c r="D93" i="10"/>
  <c r="D45" i="10"/>
  <c r="D74" i="10"/>
  <c r="D82" i="10"/>
  <c r="D94" i="10"/>
  <c r="D17" i="10"/>
  <c r="D31" i="10"/>
  <c r="D38" i="10"/>
  <c r="D60" i="10"/>
  <c r="D46" i="10"/>
  <c r="D53" i="10"/>
  <c r="D68" i="10"/>
  <c r="D75" i="10"/>
  <c r="D83" i="10"/>
  <c r="D95" i="10"/>
  <c r="D47" i="10"/>
  <c r="D54" i="10"/>
  <c r="D76" i="10"/>
  <c r="D48" i="10"/>
  <c r="D55" i="10"/>
  <c r="D77" i="10"/>
  <c r="D92" i="10"/>
  <c r="F95" i="10"/>
  <c r="G95" i="10" s="1"/>
  <c r="H95" i="10" s="1"/>
  <c r="D89" i="10"/>
  <c r="F92" i="10"/>
  <c r="G92" i="10" s="1"/>
  <c r="H92" i="10" s="1"/>
  <c r="F89" i="10"/>
  <c r="G89" i="10" s="1"/>
  <c r="H89" i="10" s="1"/>
  <c r="F86" i="10"/>
  <c r="G86" i="10" s="1"/>
  <c r="H86" i="10" s="1"/>
  <c r="F93" i="10"/>
  <c r="G93" i="10" s="1"/>
  <c r="H93" i="10" s="1"/>
  <c r="F87" i="10"/>
  <c r="G87" i="10" s="1"/>
  <c r="H87" i="10" s="1"/>
  <c r="D86" i="9"/>
  <c r="D73" i="9"/>
  <c r="F24" i="9"/>
  <c r="G24" i="9" s="1"/>
  <c r="H24" i="9" s="1"/>
  <c r="F37" i="9"/>
  <c r="G37" i="9" s="1"/>
  <c r="H37" i="9" s="1"/>
  <c r="F60" i="9"/>
  <c r="G60" i="9" s="1"/>
  <c r="H60" i="9" s="1"/>
  <c r="F92" i="9"/>
  <c r="G92" i="9" s="1"/>
  <c r="H92" i="9" s="1"/>
  <c r="F51" i="9"/>
  <c r="G51" i="9" s="1"/>
  <c r="H51" i="9" s="1"/>
  <c r="F95" i="9"/>
  <c r="G95" i="9" s="1"/>
  <c r="H95" i="9" s="1"/>
  <c r="F12" i="9"/>
  <c r="G12" i="9" s="1"/>
  <c r="H12" i="9" s="1"/>
  <c r="F63" i="9"/>
  <c r="G63" i="9" s="1"/>
  <c r="H63" i="9" s="1"/>
  <c r="F76" i="9"/>
  <c r="G76" i="9" s="1"/>
  <c r="H76" i="9" s="1"/>
  <c r="F5" i="9"/>
  <c r="G5" i="9" s="1"/>
  <c r="H5" i="9" s="1"/>
  <c r="F15" i="9"/>
  <c r="G15" i="9" s="1"/>
  <c r="H15" i="9" s="1"/>
  <c r="F25" i="9"/>
  <c r="G25" i="9" s="1"/>
  <c r="H25" i="9" s="1"/>
  <c r="F40" i="9"/>
  <c r="G40" i="9" s="1"/>
  <c r="H40" i="9" s="1"/>
  <c r="F66" i="9"/>
  <c r="G66" i="9" s="1"/>
  <c r="H66" i="9" s="1"/>
  <c r="F82" i="9"/>
  <c r="G82" i="9" s="1"/>
  <c r="H82" i="9" s="1"/>
  <c r="D31" i="9"/>
  <c r="D41" i="9"/>
  <c r="D76" i="9"/>
  <c r="D89" i="9"/>
  <c r="D67" i="9"/>
  <c r="D32" i="9"/>
  <c r="D79" i="9"/>
  <c r="D92" i="9"/>
  <c r="D69" i="9"/>
  <c r="D34" i="9"/>
  <c r="D82" i="9"/>
  <c r="D95" i="9"/>
  <c r="D44" i="9"/>
  <c r="D48" i="9"/>
  <c r="D14" i="9"/>
  <c r="F17" i="9"/>
  <c r="G17" i="9" s="1"/>
  <c r="H17" i="9" s="1"/>
  <c r="D30" i="9"/>
  <c r="F33" i="9"/>
  <c r="G33" i="9" s="1"/>
  <c r="H33" i="9" s="1"/>
  <c r="D46" i="9"/>
  <c r="F49" i="9"/>
  <c r="G49" i="9" s="1"/>
  <c r="H49" i="9" s="1"/>
  <c r="D62" i="9"/>
  <c r="F65" i="9"/>
  <c r="G65" i="9" s="1"/>
  <c r="H65" i="9" s="1"/>
  <c r="D78" i="9"/>
  <c r="F81" i="9"/>
  <c r="G81" i="9" s="1"/>
  <c r="H81" i="9" s="1"/>
  <c r="D94" i="9"/>
  <c r="D11" i="9"/>
  <c r="F14" i="9"/>
  <c r="G14" i="9" s="1"/>
  <c r="H14" i="9" s="1"/>
  <c r="D27" i="9"/>
  <c r="F30" i="9"/>
  <c r="G30" i="9" s="1"/>
  <c r="H30" i="9" s="1"/>
  <c r="D43" i="9"/>
  <c r="F46" i="9"/>
  <c r="G46" i="9" s="1"/>
  <c r="H46" i="9" s="1"/>
  <c r="D59" i="9"/>
  <c r="F62" i="9"/>
  <c r="G62" i="9" s="1"/>
  <c r="H62" i="9" s="1"/>
  <c r="D75" i="9"/>
  <c r="F78" i="9"/>
  <c r="G78" i="9" s="1"/>
  <c r="H78" i="9" s="1"/>
  <c r="D91" i="9"/>
  <c r="F94" i="9"/>
  <c r="G94" i="9" s="1"/>
  <c r="H94" i="9" s="1"/>
  <c r="D24" i="9"/>
  <c r="D40" i="9"/>
  <c r="D56" i="9"/>
  <c r="D72" i="9"/>
  <c r="D88" i="9"/>
  <c r="F91" i="9"/>
  <c r="G91" i="9" s="1"/>
  <c r="H91" i="9" s="1"/>
  <c r="D13" i="9"/>
  <c r="F48" i="9"/>
  <c r="G48" i="9" s="1"/>
  <c r="H48" i="9" s="1"/>
  <c r="D77" i="9"/>
  <c r="D10" i="9"/>
  <c r="F13" i="9"/>
  <c r="G13" i="9" s="1"/>
  <c r="H13" i="9" s="1"/>
  <c r="D26" i="9"/>
  <c r="F29" i="9"/>
  <c r="G29" i="9" s="1"/>
  <c r="H29" i="9" s="1"/>
  <c r="D42" i="9"/>
  <c r="F45" i="9"/>
  <c r="G45" i="9" s="1"/>
  <c r="H45" i="9" s="1"/>
  <c r="D58" i="9"/>
  <c r="F61" i="9"/>
  <c r="G61" i="9" s="1"/>
  <c r="H61" i="9" s="1"/>
  <c r="D74" i="9"/>
  <c r="F77" i="9"/>
  <c r="G77" i="9" s="1"/>
  <c r="H77" i="9" s="1"/>
  <c r="D90" i="9"/>
  <c r="F93" i="9"/>
  <c r="G93" i="9" s="1"/>
  <c r="H93" i="9" s="1"/>
  <c r="D29" i="9"/>
  <c r="D7" i="9"/>
  <c r="F10" i="9"/>
  <c r="G10" i="9" s="1"/>
  <c r="H10" i="9" s="1"/>
  <c r="D23" i="9"/>
  <c r="F26" i="9"/>
  <c r="G26" i="9" s="1"/>
  <c r="H26" i="9" s="1"/>
  <c r="D39" i="9"/>
  <c r="F42" i="9"/>
  <c r="G42" i="9" s="1"/>
  <c r="H42" i="9" s="1"/>
  <c r="D55" i="9"/>
  <c r="F58" i="9"/>
  <c r="G58" i="9" s="1"/>
  <c r="H58" i="9" s="1"/>
  <c r="D71" i="9"/>
  <c r="F74" i="9"/>
  <c r="G74" i="9" s="1"/>
  <c r="H74" i="9" s="1"/>
  <c r="D87" i="9"/>
  <c r="F90" i="9"/>
  <c r="G90" i="9" s="1"/>
  <c r="H90" i="9" s="1"/>
  <c r="D64" i="9"/>
  <c r="D80" i="9"/>
  <c r="D45" i="9"/>
  <c r="F64" i="9"/>
  <c r="G64" i="9" s="1"/>
  <c r="H64" i="9" s="1"/>
  <c r="D93" i="9"/>
  <c r="D4" i="9"/>
  <c r="F7" i="9"/>
  <c r="G7" i="9" s="1"/>
  <c r="H7" i="9" s="1"/>
  <c r="D20" i="9"/>
  <c r="F23" i="9"/>
  <c r="G23" i="9" s="1"/>
  <c r="H23" i="9" s="1"/>
  <c r="D36" i="9"/>
  <c r="F39" i="9"/>
  <c r="G39" i="9" s="1"/>
  <c r="H39" i="9" s="1"/>
  <c r="D52" i="9"/>
  <c r="F55" i="9"/>
  <c r="G55" i="9" s="1"/>
  <c r="H55" i="9" s="1"/>
  <c r="D68" i="9"/>
  <c r="F71" i="9"/>
  <c r="G71" i="9" s="1"/>
  <c r="H71" i="9" s="1"/>
  <c r="D84" i="9"/>
  <c r="F87" i="9"/>
  <c r="G87" i="9" s="1"/>
  <c r="H87" i="9" s="1"/>
  <c r="D61" i="9"/>
  <c r="F80" i="9"/>
  <c r="G80" i="9" s="1"/>
  <c r="H80" i="9" s="1"/>
  <c r="F4" i="9"/>
  <c r="G4" i="9" s="1"/>
  <c r="H4" i="9" s="1"/>
  <c r="D17" i="9"/>
  <c r="F20" i="9"/>
  <c r="G20" i="9" s="1"/>
  <c r="H20" i="9" s="1"/>
  <c r="D33" i="9"/>
  <c r="F36" i="9"/>
  <c r="G36" i="9" s="1"/>
  <c r="H36" i="9" s="1"/>
  <c r="D49" i="9"/>
  <c r="F52" i="9"/>
  <c r="G52" i="9" s="1"/>
  <c r="H52" i="9" s="1"/>
  <c r="D65" i="9"/>
  <c r="F68" i="9"/>
  <c r="G68" i="9" s="1"/>
  <c r="H68" i="9" s="1"/>
  <c r="D76" i="8"/>
  <c r="D85" i="8"/>
  <c r="D69" i="8"/>
  <c r="D86" i="8"/>
  <c r="D2" i="8"/>
  <c r="D9" i="8"/>
  <c r="D55" i="8"/>
  <c r="D70" i="8"/>
  <c r="D88" i="8"/>
  <c r="D16" i="8"/>
  <c r="D24" i="8"/>
  <c r="D32" i="8"/>
  <c r="D47" i="8"/>
  <c r="D62" i="8"/>
  <c r="D79" i="8"/>
  <c r="D71" i="8"/>
  <c r="D10" i="8"/>
  <c r="D17" i="8"/>
  <c r="D25" i="8"/>
  <c r="D33" i="8"/>
  <c r="D48" i="8"/>
  <c r="D56" i="8"/>
  <c r="D63" i="8"/>
  <c r="D80" i="8"/>
  <c r="D42" i="8"/>
  <c r="D50" i="8"/>
  <c r="D92" i="8"/>
  <c r="D6" i="8"/>
  <c r="D13" i="8"/>
  <c r="D20" i="8"/>
  <c r="D28" i="8"/>
  <c r="D36" i="8"/>
  <c r="D43" i="8"/>
  <c r="D51" i="8"/>
  <c r="D74" i="8"/>
  <c r="D7" i="8"/>
  <c r="D14" i="8"/>
  <c r="D21" i="8"/>
  <c r="D29" i="8"/>
  <c r="D37" i="8"/>
  <c r="D44" i="8"/>
  <c r="D52" i="8"/>
  <c r="D59" i="8"/>
  <c r="D75" i="8"/>
  <c r="D87" i="8"/>
  <c r="D93" i="8"/>
  <c r="D94" i="8"/>
  <c r="D53" i="8"/>
  <c r="D65" i="8"/>
  <c r="D77" i="8"/>
  <c r="D89" i="8"/>
  <c r="D54" i="8"/>
  <c r="D66" i="8"/>
  <c r="D78" i="8"/>
  <c r="D90" i="8"/>
  <c r="D19" i="7"/>
  <c r="D62" i="7"/>
  <c r="D12" i="7"/>
  <c r="D20" i="7"/>
  <c r="D5" i="7"/>
  <c r="F12" i="7"/>
  <c r="G12" i="7" s="1"/>
  <c r="H12" i="7" s="1"/>
  <c r="F20" i="7"/>
  <c r="G20" i="7" s="1"/>
  <c r="H20" i="7" s="1"/>
  <c r="D28" i="7"/>
  <c r="D37" i="7"/>
  <c r="F51" i="7"/>
  <c r="G51" i="7" s="1"/>
  <c r="H51" i="7" s="1"/>
  <c r="F66" i="7"/>
  <c r="G66" i="7" s="1"/>
  <c r="H66" i="7" s="1"/>
  <c r="F81" i="7"/>
  <c r="G81" i="7" s="1"/>
  <c r="H81" i="7" s="1"/>
  <c r="D51" i="7"/>
  <c r="D66" i="7"/>
  <c r="F5" i="7"/>
  <c r="G5" i="7" s="1"/>
  <c r="H5" i="7" s="1"/>
  <c r="D13" i="7"/>
  <c r="F28" i="7"/>
  <c r="G28" i="7" s="1"/>
  <c r="H28" i="7" s="1"/>
  <c r="D38" i="7"/>
  <c r="D52" i="7"/>
  <c r="D67" i="7"/>
  <c r="D84" i="7"/>
  <c r="D29" i="7"/>
  <c r="D39" i="7"/>
  <c r="D6" i="7"/>
  <c r="D14" i="7"/>
  <c r="D40" i="7"/>
  <c r="D53" i="7"/>
  <c r="D68" i="7"/>
  <c r="D88" i="7"/>
  <c r="D7" i="7"/>
  <c r="D41" i="7"/>
  <c r="D89" i="7"/>
  <c r="D23" i="7"/>
  <c r="D31" i="7"/>
  <c r="F41" i="7"/>
  <c r="G41" i="7" s="1"/>
  <c r="H41" i="7" s="1"/>
  <c r="F55" i="7"/>
  <c r="G55" i="7" s="1"/>
  <c r="H55" i="7" s="1"/>
  <c r="F69" i="7"/>
  <c r="G69" i="7" s="1"/>
  <c r="H69" i="7" s="1"/>
  <c r="F89" i="7"/>
  <c r="G89" i="7" s="1"/>
  <c r="H89" i="7" s="1"/>
  <c r="D15" i="7"/>
  <c r="D55" i="7"/>
  <c r="D8" i="7"/>
  <c r="D16" i="7"/>
  <c r="F23" i="7"/>
  <c r="G23" i="7" s="1"/>
  <c r="H23" i="7" s="1"/>
  <c r="D32" i="7"/>
  <c r="D42" i="7"/>
  <c r="F57" i="7"/>
  <c r="G57" i="7" s="1"/>
  <c r="H57" i="7" s="1"/>
  <c r="D70" i="7"/>
  <c r="D90" i="7"/>
  <c r="D69" i="7"/>
  <c r="F8" i="7"/>
  <c r="G8" i="7" s="1"/>
  <c r="H8" i="7" s="1"/>
  <c r="F16" i="7"/>
  <c r="G16" i="7" s="1"/>
  <c r="H16" i="7" s="1"/>
  <c r="D24" i="7"/>
  <c r="D33" i="7"/>
  <c r="F42" i="7"/>
  <c r="G42" i="7" s="1"/>
  <c r="H42" i="7" s="1"/>
  <c r="F58" i="7"/>
  <c r="G58" i="7" s="1"/>
  <c r="H58" i="7" s="1"/>
  <c r="D76" i="7"/>
  <c r="D43" i="7"/>
  <c r="D91" i="7"/>
  <c r="D25" i="7"/>
  <c r="D34" i="7"/>
  <c r="D46" i="7"/>
  <c r="D77" i="7"/>
  <c r="D92" i="7"/>
  <c r="D3" i="7"/>
  <c r="D10" i="7"/>
  <c r="D18" i="7"/>
  <c r="D47" i="7"/>
  <c r="D61" i="7"/>
  <c r="F3" i="7"/>
  <c r="G3" i="7" s="1"/>
  <c r="H3" i="7" s="1"/>
  <c r="F10" i="7"/>
  <c r="G10" i="7" s="1"/>
  <c r="H10" i="7" s="1"/>
  <c r="F18" i="7"/>
  <c r="G18" i="7" s="1"/>
  <c r="H18" i="7" s="1"/>
  <c r="D26" i="7"/>
  <c r="D35" i="7"/>
  <c r="F48" i="7"/>
  <c r="G48" i="7" s="1"/>
  <c r="H48" i="7" s="1"/>
  <c r="D78" i="7"/>
  <c r="F87" i="7"/>
  <c r="G87" i="7" s="1"/>
  <c r="H87" i="7" s="1"/>
  <c r="D27" i="7"/>
  <c r="D36" i="7"/>
  <c r="D63" i="7"/>
  <c r="F82" i="7"/>
  <c r="G82" i="7" s="1"/>
  <c r="H82" i="7" s="1"/>
  <c r="F62" i="7"/>
  <c r="G62" i="7" s="1"/>
  <c r="H62" i="7" s="1"/>
  <c r="F70" i="7"/>
  <c r="G70" i="7" s="1"/>
  <c r="H70" i="7" s="1"/>
  <c r="F83" i="7"/>
  <c r="G83" i="7" s="1"/>
  <c r="H83" i="7" s="1"/>
  <c r="F91" i="7"/>
  <c r="G91" i="7" s="1"/>
  <c r="H91" i="7" s="1"/>
  <c r="F71" i="7"/>
  <c r="G71" i="7" s="1"/>
  <c r="H71" i="7" s="1"/>
  <c r="F43" i="7"/>
  <c r="G43" i="7" s="1"/>
  <c r="H43" i="7" s="1"/>
  <c r="F63" i="7"/>
  <c r="G63" i="7" s="1"/>
  <c r="H63" i="7" s="1"/>
  <c r="F72" i="7"/>
  <c r="G72" i="7" s="1"/>
  <c r="H72" i="7" s="1"/>
  <c r="F92" i="7"/>
  <c r="G92" i="7" s="1"/>
  <c r="H92" i="7" s="1"/>
  <c r="F37" i="7"/>
  <c r="G37" i="7" s="1"/>
  <c r="H37" i="7" s="1"/>
  <c r="F44" i="7"/>
  <c r="G44" i="7" s="1"/>
  <c r="H44" i="7" s="1"/>
  <c r="F53" i="7"/>
  <c r="G53" i="7" s="1"/>
  <c r="H53" i="7" s="1"/>
  <c r="F73" i="7"/>
  <c r="G73" i="7" s="1"/>
  <c r="H73" i="7" s="1"/>
  <c r="F93" i="7"/>
  <c r="G93" i="7" s="1"/>
  <c r="H93" i="7" s="1"/>
  <c r="F45" i="7"/>
  <c r="G45" i="7" s="1"/>
  <c r="H45" i="7" s="1"/>
  <c r="F64" i="7"/>
  <c r="G64" i="7" s="1"/>
  <c r="H64" i="7" s="1"/>
  <c r="F74" i="7"/>
  <c r="G74" i="7" s="1"/>
  <c r="H74" i="7" s="1"/>
  <c r="F84" i="7"/>
  <c r="G84" i="7" s="1"/>
  <c r="H84" i="7" s="1"/>
  <c r="F94" i="7"/>
  <c r="G94" i="7" s="1"/>
  <c r="H94" i="7" s="1"/>
  <c r="F31" i="7"/>
  <c r="G31" i="7" s="1"/>
  <c r="H31" i="7" s="1"/>
  <c r="F54" i="7"/>
  <c r="G54" i="7" s="1"/>
  <c r="H54" i="7" s="1"/>
  <c r="F65" i="7"/>
  <c r="G65" i="7" s="1"/>
  <c r="H65" i="7" s="1"/>
  <c r="F75" i="7"/>
  <c r="G75" i="7" s="1"/>
  <c r="H75" i="7" s="1"/>
  <c r="F95" i="7"/>
  <c r="G95" i="7" s="1"/>
  <c r="H95" i="7" s="1"/>
  <c r="F38" i="7"/>
  <c r="G38" i="7" s="1"/>
  <c r="H38" i="7" s="1"/>
  <c r="F46" i="7"/>
  <c r="G46" i="7" s="1"/>
  <c r="H46" i="7" s="1"/>
  <c r="F85" i="7"/>
  <c r="G85" i="7" s="1"/>
  <c r="H85" i="7" s="1"/>
  <c r="F32" i="7"/>
  <c r="G32" i="7" s="1"/>
  <c r="H32" i="7" s="1"/>
  <c r="F39" i="7"/>
  <c r="G39" i="7" s="1"/>
  <c r="H39" i="7" s="1"/>
  <c r="F47" i="7"/>
  <c r="G47" i="7" s="1"/>
  <c r="H47" i="7" s="1"/>
  <c r="F56" i="7"/>
  <c r="G56" i="7" s="1"/>
  <c r="H56" i="7" s="1"/>
  <c r="D48" i="7"/>
  <c r="D85" i="7"/>
  <c r="D93" i="7"/>
  <c r="D56" i="7"/>
  <c r="D71" i="7"/>
  <c r="D79" i="7"/>
  <c r="D49" i="7"/>
  <c r="D64" i="7"/>
  <c r="D86" i="7"/>
  <c r="D94" i="7"/>
  <c r="D57" i="7"/>
  <c r="D72" i="7"/>
  <c r="D80" i="7"/>
  <c r="D50" i="7"/>
  <c r="D65" i="7"/>
  <c r="D87" i="7"/>
  <c r="D95" i="7"/>
  <c r="D58" i="7"/>
  <c r="D73" i="7"/>
  <c r="D81" i="7"/>
  <c r="D44" i="7"/>
  <c r="D59" i="7"/>
  <c r="D74" i="7"/>
  <c r="D82" i="7"/>
  <c r="D45" i="7"/>
  <c r="D60" i="7"/>
  <c r="D75" i="7"/>
  <c r="D94" i="6"/>
  <c r="D11" i="6"/>
  <c r="D27" i="6"/>
  <c r="D43" i="6"/>
  <c r="D59" i="6"/>
  <c r="D75" i="6"/>
  <c r="D91" i="6"/>
  <c r="D14" i="6"/>
  <c r="D8" i="6"/>
  <c r="D24" i="6"/>
  <c r="D40" i="6"/>
  <c r="D56" i="6"/>
  <c r="D72" i="6"/>
  <c r="D88" i="6"/>
  <c r="D62" i="6"/>
  <c r="D5" i="6"/>
  <c r="D21" i="6"/>
  <c r="D37" i="6"/>
  <c r="D53" i="6"/>
  <c r="D69" i="6"/>
  <c r="D85" i="6"/>
  <c r="D2" i="6"/>
  <c r="D18" i="6"/>
  <c r="D34" i="6"/>
  <c r="D50" i="6"/>
  <c r="D66" i="6"/>
  <c r="D82" i="6"/>
  <c r="D78" i="6"/>
  <c r="D15" i="6"/>
  <c r="D31" i="6"/>
  <c r="D47" i="6"/>
  <c r="D63" i="6"/>
  <c r="D79" i="6"/>
  <c r="D30" i="6"/>
  <c r="D46" i="6"/>
  <c r="D12" i="6"/>
  <c r="D28" i="6"/>
  <c r="D44" i="6"/>
  <c r="D60" i="6"/>
  <c r="D76" i="6"/>
  <c r="D92" i="6"/>
  <c r="D9" i="6"/>
  <c r="D41" i="6"/>
  <c r="D57" i="6"/>
  <c r="D73" i="6"/>
  <c r="D89" i="6"/>
  <c r="D6" i="6"/>
  <c r="D22" i="6"/>
  <c r="D38" i="6"/>
  <c r="D54" i="6"/>
  <c r="D70" i="6"/>
  <c r="D86" i="6"/>
  <c r="D25" i="6"/>
  <c r="D19" i="6"/>
  <c r="D16" i="6"/>
  <c r="D32" i="6"/>
  <c r="D48" i="6"/>
  <c r="D64" i="6"/>
  <c r="D80" i="6"/>
  <c r="D67" i="6"/>
  <c r="D13" i="6"/>
  <c r="D29" i="6"/>
  <c r="D45" i="6"/>
  <c r="D61" i="6"/>
  <c r="D77" i="6"/>
  <c r="D93" i="6"/>
  <c r="D3" i="6"/>
  <c r="D35" i="6"/>
  <c r="D51" i="6"/>
  <c r="D83" i="6"/>
  <c r="D10" i="6"/>
  <c r="D26" i="6"/>
  <c r="D42" i="6"/>
  <c r="D58" i="6"/>
  <c r="D74" i="6"/>
  <c r="D90" i="6"/>
  <c r="D7" i="6"/>
  <c r="D39" i="6"/>
  <c r="D55" i="6"/>
  <c r="D71" i="6"/>
  <c r="D87" i="6"/>
  <c r="D4" i="6"/>
  <c r="D20" i="6"/>
  <c r="D36" i="6"/>
  <c r="D52" i="6"/>
  <c r="D68" i="6"/>
  <c r="D84" i="6"/>
  <c r="D23" i="6"/>
  <c r="D17" i="6"/>
  <c r="D33" i="6"/>
  <c r="D49" i="6"/>
  <c r="D65" i="6"/>
  <c r="D7" i="5"/>
  <c r="D12" i="5"/>
  <c r="D49" i="5"/>
  <c r="D76" i="5"/>
  <c r="D91" i="5"/>
  <c r="D20" i="5"/>
  <c r="D31" i="5"/>
  <c r="D38" i="5"/>
  <c r="D64" i="5"/>
  <c r="D13" i="5"/>
  <c r="D43" i="5"/>
  <c r="D50" i="5"/>
  <c r="D78" i="5"/>
  <c r="D92" i="5"/>
  <c r="D33" i="5"/>
  <c r="D51" i="5"/>
  <c r="D57" i="5"/>
  <c r="D80" i="5"/>
  <c r="D27" i="5"/>
  <c r="D34" i="5"/>
  <c r="D52" i="5"/>
  <c r="D66" i="5"/>
  <c r="D82" i="5"/>
  <c r="D63" i="5"/>
  <c r="D79" i="5"/>
  <c r="D95" i="5"/>
  <c r="D89" i="5"/>
  <c r="D70" i="5"/>
  <c r="D86" i="5"/>
  <c r="D67" i="5"/>
  <c r="D83" i="5"/>
  <c r="D77" i="5"/>
  <c r="D93" i="5"/>
  <c r="D58" i="5"/>
  <c r="D74" i="5"/>
  <c r="D90" i="5"/>
  <c r="D71" i="5"/>
  <c r="D33" i="3"/>
  <c r="D95" i="3"/>
  <c r="D79" i="3"/>
  <c r="D63" i="3"/>
  <c r="D47" i="3"/>
  <c r="D31" i="3"/>
  <c r="D15" i="3"/>
  <c r="D82" i="3"/>
  <c r="D94" i="3"/>
  <c r="D78" i="3"/>
  <c r="D62" i="3"/>
  <c r="D46" i="3"/>
  <c r="D30" i="3"/>
  <c r="D14" i="3"/>
  <c r="D93" i="3"/>
  <c r="D77" i="3"/>
  <c r="D61" i="3"/>
  <c r="D45" i="3"/>
  <c r="D29" i="3"/>
  <c r="D13" i="3"/>
  <c r="D49" i="3"/>
  <c r="D92" i="3"/>
  <c r="D76" i="3"/>
  <c r="D60" i="3"/>
  <c r="D44" i="3"/>
  <c r="D28" i="3"/>
  <c r="D12" i="3"/>
  <c r="D34" i="3"/>
  <c r="D81" i="3"/>
  <c r="D91" i="3"/>
  <c r="D75" i="3"/>
  <c r="D59" i="3"/>
  <c r="D43" i="3"/>
  <c r="D27" i="3"/>
  <c r="D11" i="3"/>
  <c r="D90" i="3"/>
  <c r="D74" i="3"/>
  <c r="D58" i="3"/>
  <c r="D42" i="3"/>
  <c r="D26" i="3"/>
  <c r="D10" i="3"/>
  <c r="D32" i="3"/>
  <c r="D89" i="3"/>
  <c r="D73" i="3"/>
  <c r="D57" i="3"/>
  <c r="D41" i="3"/>
  <c r="D25" i="3"/>
  <c r="D9" i="3"/>
  <c r="D88" i="3"/>
  <c r="D72" i="3"/>
  <c r="D56" i="3"/>
  <c r="D40" i="3"/>
  <c r="D24" i="3"/>
  <c r="D8" i="3"/>
  <c r="D17" i="3"/>
  <c r="D80" i="3"/>
  <c r="D87" i="3"/>
  <c r="D71" i="3"/>
  <c r="D55" i="3"/>
  <c r="D39" i="3"/>
  <c r="D23" i="3"/>
  <c r="D7" i="3"/>
  <c r="D18" i="3"/>
  <c r="D64" i="3"/>
  <c r="D86" i="3"/>
  <c r="D70" i="3"/>
  <c r="D54" i="3"/>
  <c r="D38" i="3"/>
  <c r="D22" i="3"/>
  <c r="D6" i="3"/>
  <c r="D50" i="3"/>
  <c r="D16" i="3"/>
  <c r="D85" i="3"/>
  <c r="D69" i="3"/>
  <c r="D53" i="3"/>
  <c r="D37" i="3"/>
  <c r="D21" i="3"/>
  <c r="D5" i="3"/>
  <c r="D66" i="3"/>
  <c r="D48" i="3"/>
  <c r="D84" i="3"/>
  <c r="D68" i="3"/>
  <c r="D52" i="3"/>
  <c r="D36" i="3"/>
  <c r="D20" i="3"/>
  <c r="D4" i="3"/>
  <c r="D65" i="3"/>
  <c r="D2" i="3"/>
  <c r="D83" i="3"/>
  <c r="D67" i="3"/>
  <c r="D51" i="3"/>
  <c r="D35" i="3"/>
  <c r="D19" i="3"/>
  <c r="H101" i="13" l="1"/>
  <c r="E101" i="5"/>
  <c r="E99" i="5"/>
  <c r="E101" i="8"/>
  <c r="E99" i="8"/>
  <c r="E99" i="6"/>
  <c r="E101" i="6"/>
  <c r="E99" i="3"/>
  <c r="E101" i="3"/>
  <c r="H99" i="13"/>
  <c r="H101" i="12"/>
  <c r="H99" i="12"/>
  <c r="I2" i="12" s="1"/>
  <c r="H99" i="11"/>
  <c r="H101" i="11"/>
  <c r="H99" i="10"/>
  <c r="H101" i="10"/>
  <c r="I26" i="10" s="1"/>
  <c r="H101" i="9"/>
  <c r="H99" i="9"/>
  <c r="H101" i="7"/>
  <c r="H99" i="7"/>
  <c r="I16" i="13" l="1"/>
  <c r="I10" i="13"/>
  <c r="I29" i="13"/>
  <c r="I81" i="13"/>
  <c r="I71" i="13"/>
  <c r="I53" i="13"/>
  <c r="I21" i="13"/>
  <c r="I58" i="13"/>
  <c r="I14" i="13"/>
  <c r="I36" i="13"/>
  <c r="I57" i="13"/>
  <c r="I42" i="13"/>
  <c r="I76" i="13"/>
  <c r="I83" i="13"/>
  <c r="I88" i="13"/>
  <c r="I86" i="13"/>
  <c r="I65" i="13"/>
  <c r="I77" i="13"/>
  <c r="I39" i="13"/>
  <c r="I25" i="13"/>
  <c r="I28" i="13"/>
  <c r="I33" i="13"/>
  <c r="I43" i="13"/>
  <c r="I17" i="7"/>
  <c r="I15" i="7"/>
  <c r="I61" i="7"/>
  <c r="I6" i="7"/>
  <c r="I3" i="7"/>
  <c r="I10" i="7"/>
  <c r="I27" i="7"/>
  <c r="I77" i="7"/>
  <c r="I35" i="7"/>
  <c r="F94" i="6"/>
  <c r="G94" i="6" s="1"/>
  <c r="H94" i="6" s="1"/>
  <c r="F90" i="5"/>
  <c r="G90" i="5" s="1"/>
  <c r="H90" i="5" s="1"/>
  <c r="F74" i="5"/>
  <c r="G74" i="5" s="1"/>
  <c r="H74" i="5" s="1"/>
  <c r="F82" i="5"/>
  <c r="G82" i="5" s="1"/>
  <c r="H82" i="5" s="1"/>
  <c r="F85" i="5"/>
  <c r="G85" i="5" s="1"/>
  <c r="H85" i="5" s="1"/>
  <c r="F69" i="5"/>
  <c r="G69" i="5" s="1"/>
  <c r="H69" i="5" s="1"/>
  <c r="F47" i="5"/>
  <c r="G47" i="5" s="1"/>
  <c r="H47" i="5" s="1"/>
  <c r="F35" i="5"/>
  <c r="G35" i="5" s="1"/>
  <c r="H35" i="5" s="1"/>
  <c r="F27" i="5"/>
  <c r="G27" i="5" s="1"/>
  <c r="H27" i="5" s="1"/>
  <c r="F22" i="5"/>
  <c r="G22" i="5" s="1"/>
  <c r="H22" i="5" s="1"/>
  <c r="F94" i="5"/>
  <c r="G94" i="5" s="1"/>
  <c r="H94" i="5" s="1"/>
  <c r="F76" i="5"/>
  <c r="G76" i="5" s="1"/>
  <c r="H76" i="5" s="1"/>
  <c r="F33" i="5"/>
  <c r="G33" i="5" s="1"/>
  <c r="H33" i="5" s="1"/>
  <c r="F73" i="5"/>
  <c r="G73" i="5" s="1"/>
  <c r="H73" i="5" s="1"/>
  <c r="F46" i="5"/>
  <c r="G46" i="5" s="1"/>
  <c r="H46" i="5" s="1"/>
  <c r="F34" i="5"/>
  <c r="G34" i="5" s="1"/>
  <c r="H34" i="5" s="1"/>
  <c r="F40" i="5"/>
  <c r="G40" i="5" s="1"/>
  <c r="H40" i="5" s="1"/>
  <c r="F54" i="5"/>
  <c r="G54" i="5" s="1"/>
  <c r="H54" i="5" s="1"/>
  <c r="F77" i="5"/>
  <c r="G77" i="5" s="1"/>
  <c r="H77" i="5" s="1"/>
  <c r="F70" i="5"/>
  <c r="G70" i="5" s="1"/>
  <c r="H70" i="5" s="1"/>
  <c r="F92" i="5"/>
  <c r="G92" i="5" s="1"/>
  <c r="H92" i="5" s="1"/>
  <c r="F66" i="5"/>
  <c r="G66" i="5" s="1"/>
  <c r="H66" i="5" s="1"/>
  <c r="F13" i="5"/>
  <c r="G13" i="5" s="1"/>
  <c r="H13" i="5" s="1"/>
  <c r="F63" i="5"/>
  <c r="G63" i="5" s="1"/>
  <c r="H63" i="5" s="1"/>
  <c r="F62" i="5"/>
  <c r="G62" i="5" s="1"/>
  <c r="H62" i="5" s="1"/>
  <c r="F78" i="5"/>
  <c r="G78" i="5" s="1"/>
  <c r="H78" i="5" s="1"/>
  <c r="F75" i="5"/>
  <c r="G75" i="5" s="1"/>
  <c r="H75" i="5" s="1"/>
  <c r="F61" i="5"/>
  <c r="G61" i="5" s="1"/>
  <c r="H61" i="5" s="1"/>
  <c r="F86" i="5"/>
  <c r="G86" i="5" s="1"/>
  <c r="H86" i="5" s="1"/>
  <c r="F89" i="5"/>
  <c r="G89" i="5" s="1"/>
  <c r="H89" i="5" s="1"/>
  <c r="F95" i="5"/>
  <c r="G95" i="5" s="1"/>
  <c r="H95" i="5" s="1"/>
  <c r="F80" i="5"/>
  <c r="G80" i="5" s="1"/>
  <c r="H80" i="5" s="1"/>
  <c r="F57" i="5"/>
  <c r="G57" i="5" s="1"/>
  <c r="H57" i="5" s="1"/>
  <c r="F21" i="5"/>
  <c r="G21" i="5" s="1"/>
  <c r="H21" i="5" s="1"/>
  <c r="F26" i="5"/>
  <c r="G26" i="5" s="1"/>
  <c r="H26" i="5" s="1"/>
  <c r="F2" i="5"/>
  <c r="G2" i="5" s="1"/>
  <c r="F3" i="5"/>
  <c r="G3" i="5" s="1"/>
  <c r="H3" i="5" s="1"/>
  <c r="F4" i="5"/>
  <c r="G4" i="5" s="1"/>
  <c r="H4" i="5" s="1"/>
  <c r="F5" i="5"/>
  <c r="G5" i="5" s="1"/>
  <c r="H5" i="5" s="1"/>
  <c r="F6" i="5"/>
  <c r="G6" i="5" s="1"/>
  <c r="H6" i="5" s="1"/>
  <c r="F7" i="5"/>
  <c r="G7" i="5" s="1"/>
  <c r="H7" i="5" s="1"/>
  <c r="F8" i="5"/>
  <c r="G8" i="5" s="1"/>
  <c r="H8" i="5" s="1"/>
  <c r="F9" i="5"/>
  <c r="G9" i="5" s="1"/>
  <c r="H9" i="5" s="1"/>
  <c r="F10" i="5"/>
  <c r="G10" i="5" s="1"/>
  <c r="H10" i="5" s="1"/>
  <c r="F11" i="5"/>
  <c r="G11" i="5" s="1"/>
  <c r="H11" i="5" s="1"/>
  <c r="F12" i="5"/>
  <c r="G12" i="5" s="1"/>
  <c r="H12" i="5" s="1"/>
  <c r="F14" i="5"/>
  <c r="G14" i="5" s="1"/>
  <c r="H14" i="5" s="1"/>
  <c r="F15" i="5"/>
  <c r="G15" i="5" s="1"/>
  <c r="H15" i="5" s="1"/>
  <c r="F16" i="5"/>
  <c r="G16" i="5" s="1"/>
  <c r="H16" i="5" s="1"/>
  <c r="F17" i="5"/>
  <c r="G17" i="5" s="1"/>
  <c r="H17" i="5" s="1"/>
  <c r="F18" i="5"/>
  <c r="G18" i="5" s="1"/>
  <c r="H18" i="5" s="1"/>
  <c r="F19" i="5"/>
  <c r="G19" i="5" s="1"/>
  <c r="H19" i="5" s="1"/>
  <c r="F20" i="5"/>
  <c r="G20" i="5" s="1"/>
  <c r="H20" i="5" s="1"/>
  <c r="F23" i="5"/>
  <c r="G23" i="5" s="1"/>
  <c r="H23" i="5" s="1"/>
  <c r="F24" i="5"/>
  <c r="G24" i="5" s="1"/>
  <c r="H24" i="5" s="1"/>
  <c r="F25" i="5"/>
  <c r="G25" i="5" s="1"/>
  <c r="H25" i="5" s="1"/>
  <c r="F28" i="5"/>
  <c r="G28" i="5" s="1"/>
  <c r="H28" i="5" s="1"/>
  <c r="F29" i="5"/>
  <c r="G29" i="5" s="1"/>
  <c r="H29" i="5" s="1"/>
  <c r="F30" i="5"/>
  <c r="G30" i="5" s="1"/>
  <c r="H30" i="5" s="1"/>
  <c r="F31" i="5"/>
  <c r="G31" i="5" s="1"/>
  <c r="H31" i="5" s="1"/>
  <c r="F32" i="5"/>
  <c r="G32" i="5" s="1"/>
  <c r="H32" i="5" s="1"/>
  <c r="F36" i="5"/>
  <c r="G36" i="5" s="1"/>
  <c r="H36" i="5" s="1"/>
  <c r="F37" i="5"/>
  <c r="G37" i="5" s="1"/>
  <c r="H37" i="5" s="1"/>
  <c r="F38" i="5"/>
  <c r="G38" i="5" s="1"/>
  <c r="H38" i="5" s="1"/>
  <c r="F39" i="5"/>
  <c r="G39" i="5" s="1"/>
  <c r="H39" i="5" s="1"/>
  <c r="F41" i="5"/>
  <c r="G41" i="5" s="1"/>
  <c r="H41" i="5" s="1"/>
  <c r="F42" i="5"/>
  <c r="G42" i="5" s="1"/>
  <c r="H42" i="5" s="1"/>
  <c r="F43" i="5"/>
  <c r="G43" i="5" s="1"/>
  <c r="H43" i="5" s="1"/>
  <c r="F44" i="5"/>
  <c r="G44" i="5" s="1"/>
  <c r="H44" i="5" s="1"/>
  <c r="F45" i="5"/>
  <c r="G45" i="5" s="1"/>
  <c r="H45" i="5" s="1"/>
  <c r="F48" i="5"/>
  <c r="G48" i="5" s="1"/>
  <c r="H48" i="5" s="1"/>
  <c r="F49" i="5"/>
  <c r="G49" i="5" s="1"/>
  <c r="H49" i="5" s="1"/>
  <c r="F50" i="5"/>
  <c r="G50" i="5" s="1"/>
  <c r="H50" i="5" s="1"/>
  <c r="F51" i="5"/>
  <c r="G51" i="5" s="1"/>
  <c r="H51" i="5" s="1"/>
  <c r="F52" i="5"/>
  <c r="G52" i="5" s="1"/>
  <c r="H52" i="5" s="1"/>
  <c r="F53" i="5"/>
  <c r="G53" i="5" s="1"/>
  <c r="H53" i="5" s="1"/>
  <c r="F55" i="5"/>
  <c r="G55" i="5" s="1"/>
  <c r="H55" i="5" s="1"/>
  <c r="F56" i="5"/>
  <c r="G56" i="5" s="1"/>
  <c r="H56" i="5" s="1"/>
  <c r="F58" i="5"/>
  <c r="G58" i="5" s="1"/>
  <c r="H58" i="5" s="1"/>
  <c r="F59" i="5"/>
  <c r="G59" i="5" s="1"/>
  <c r="H59" i="5" s="1"/>
  <c r="F60" i="5"/>
  <c r="G60" i="5" s="1"/>
  <c r="H60" i="5" s="1"/>
  <c r="F64" i="5"/>
  <c r="G64" i="5" s="1"/>
  <c r="H64" i="5" s="1"/>
  <c r="F65" i="5"/>
  <c r="G65" i="5" s="1"/>
  <c r="H65" i="5" s="1"/>
  <c r="F67" i="5"/>
  <c r="G67" i="5" s="1"/>
  <c r="H67" i="5" s="1"/>
  <c r="F68" i="5"/>
  <c r="G68" i="5" s="1"/>
  <c r="H68" i="5" s="1"/>
  <c r="F71" i="5"/>
  <c r="G71" i="5" s="1"/>
  <c r="H71" i="5" s="1"/>
  <c r="F72" i="5"/>
  <c r="G72" i="5" s="1"/>
  <c r="H72" i="5" s="1"/>
  <c r="F79" i="5"/>
  <c r="G79" i="5" s="1"/>
  <c r="H79" i="5" s="1"/>
  <c r="F81" i="5"/>
  <c r="G81" i="5" s="1"/>
  <c r="H81" i="5" s="1"/>
  <c r="F83" i="5"/>
  <c r="G83" i="5" s="1"/>
  <c r="H83" i="5" s="1"/>
  <c r="F84" i="5"/>
  <c r="G84" i="5" s="1"/>
  <c r="H84" i="5" s="1"/>
  <c r="F87" i="5"/>
  <c r="G87" i="5" s="1"/>
  <c r="H87" i="5" s="1"/>
  <c r="F88" i="5"/>
  <c r="G88" i="5" s="1"/>
  <c r="H88" i="5" s="1"/>
  <c r="F91" i="5"/>
  <c r="G91" i="5" s="1"/>
  <c r="H91" i="5" s="1"/>
  <c r="F93" i="5"/>
  <c r="G93" i="5" s="1"/>
  <c r="H93" i="5" s="1"/>
  <c r="F92" i="8"/>
  <c r="G92" i="8" s="1"/>
  <c r="H92" i="8" s="1"/>
  <c r="F73" i="8"/>
  <c r="G73" i="8" s="1"/>
  <c r="H73" i="8" s="1"/>
  <c r="F93" i="8"/>
  <c r="G93" i="8" s="1"/>
  <c r="H93" i="8" s="1"/>
  <c r="F87" i="8"/>
  <c r="G87" i="8" s="1"/>
  <c r="H87" i="8" s="1"/>
  <c r="F80" i="8"/>
  <c r="G80" i="8" s="1"/>
  <c r="H80" i="8" s="1"/>
  <c r="F88" i="8"/>
  <c r="G88" i="8" s="1"/>
  <c r="H88" i="8" s="1"/>
  <c r="F81" i="8"/>
  <c r="G81" i="8" s="1"/>
  <c r="H81" i="8" s="1"/>
  <c r="F86" i="8"/>
  <c r="G86" i="8" s="1"/>
  <c r="H86" i="8" s="1"/>
  <c r="F94" i="8"/>
  <c r="G94" i="8" s="1"/>
  <c r="H94" i="8" s="1"/>
  <c r="F90" i="8"/>
  <c r="G90" i="8" s="1"/>
  <c r="H90" i="8" s="1"/>
  <c r="F5" i="8"/>
  <c r="G5" i="8" s="1"/>
  <c r="H5" i="8" s="1"/>
  <c r="F9" i="8"/>
  <c r="G9" i="8" s="1"/>
  <c r="H9" i="8" s="1"/>
  <c r="F12" i="8"/>
  <c r="G12" i="8" s="1"/>
  <c r="H12" i="8" s="1"/>
  <c r="F44" i="8"/>
  <c r="G44" i="8" s="1"/>
  <c r="H44" i="8" s="1"/>
  <c r="F46" i="8"/>
  <c r="G46" i="8" s="1"/>
  <c r="H46" i="8" s="1"/>
  <c r="F48" i="8"/>
  <c r="G48" i="8" s="1"/>
  <c r="H48" i="8" s="1"/>
  <c r="F50" i="8"/>
  <c r="G50" i="8" s="1"/>
  <c r="H50" i="8" s="1"/>
  <c r="F52" i="8"/>
  <c r="G52" i="8" s="1"/>
  <c r="H52" i="8" s="1"/>
  <c r="F53" i="8"/>
  <c r="G53" i="8" s="1"/>
  <c r="H53" i="8" s="1"/>
  <c r="F55" i="8"/>
  <c r="G55" i="8" s="1"/>
  <c r="H55" i="8" s="1"/>
  <c r="F56" i="8"/>
  <c r="G56" i="8" s="1"/>
  <c r="H56" i="8" s="1"/>
  <c r="F57" i="8"/>
  <c r="G57" i="8" s="1"/>
  <c r="H57" i="8" s="1"/>
  <c r="F58" i="8"/>
  <c r="G58" i="8" s="1"/>
  <c r="H58" i="8" s="1"/>
  <c r="F59" i="8"/>
  <c r="G59" i="8" s="1"/>
  <c r="H59" i="8" s="1"/>
  <c r="F62" i="8"/>
  <c r="G62" i="8" s="1"/>
  <c r="H62" i="8" s="1"/>
  <c r="F64" i="8"/>
  <c r="G64" i="8" s="1"/>
  <c r="H64" i="8" s="1"/>
  <c r="F65" i="8"/>
  <c r="G65" i="8" s="1"/>
  <c r="H65" i="8" s="1"/>
  <c r="F67" i="8"/>
  <c r="G67" i="8" s="1"/>
  <c r="H67" i="8" s="1"/>
  <c r="F69" i="8"/>
  <c r="G69" i="8" s="1"/>
  <c r="H69" i="8" s="1"/>
  <c r="F72" i="8"/>
  <c r="G72" i="8" s="1"/>
  <c r="H72" i="8" s="1"/>
  <c r="F75" i="8"/>
  <c r="G75" i="8" s="1"/>
  <c r="H75" i="8" s="1"/>
  <c r="F76" i="8"/>
  <c r="G76" i="8" s="1"/>
  <c r="H76" i="8" s="1"/>
  <c r="F77" i="8"/>
  <c r="G77" i="8" s="1"/>
  <c r="H77" i="8" s="1"/>
  <c r="F79" i="8"/>
  <c r="G79" i="8" s="1"/>
  <c r="H79" i="8" s="1"/>
  <c r="F82" i="8"/>
  <c r="G82" i="8" s="1"/>
  <c r="H82" i="8" s="1"/>
  <c r="F83" i="8"/>
  <c r="G83" i="8" s="1"/>
  <c r="H83" i="8" s="1"/>
  <c r="F91" i="8"/>
  <c r="G91" i="8" s="1"/>
  <c r="H91" i="8" s="1"/>
  <c r="F11" i="8"/>
  <c r="G11" i="8" s="1"/>
  <c r="H11" i="8" s="1"/>
  <c r="F4" i="8"/>
  <c r="G4" i="8" s="1"/>
  <c r="H4" i="8" s="1"/>
  <c r="F8" i="8"/>
  <c r="G8" i="8" s="1"/>
  <c r="H8" i="8" s="1"/>
  <c r="F10" i="8"/>
  <c r="G10" i="8" s="1"/>
  <c r="H10" i="8" s="1"/>
  <c r="F14" i="8"/>
  <c r="G14" i="8" s="1"/>
  <c r="H14" i="8" s="1"/>
  <c r="F45" i="8"/>
  <c r="G45" i="8" s="1"/>
  <c r="H45" i="8" s="1"/>
  <c r="F47" i="8"/>
  <c r="G47" i="8" s="1"/>
  <c r="H47" i="8" s="1"/>
  <c r="F49" i="8"/>
  <c r="G49" i="8" s="1"/>
  <c r="H49" i="8" s="1"/>
  <c r="F51" i="8"/>
  <c r="G51" i="8" s="1"/>
  <c r="H51" i="8" s="1"/>
  <c r="F54" i="8"/>
  <c r="G54" i="8" s="1"/>
  <c r="H54" i="8" s="1"/>
  <c r="F60" i="8"/>
  <c r="G60" i="8" s="1"/>
  <c r="H60" i="8" s="1"/>
  <c r="F61" i="8"/>
  <c r="G61" i="8" s="1"/>
  <c r="H61" i="8" s="1"/>
  <c r="F63" i="8"/>
  <c r="G63" i="8" s="1"/>
  <c r="H63" i="8" s="1"/>
  <c r="F66" i="8"/>
  <c r="G66" i="8" s="1"/>
  <c r="H66" i="8" s="1"/>
  <c r="F68" i="8"/>
  <c r="G68" i="8" s="1"/>
  <c r="H68" i="8" s="1"/>
  <c r="F70" i="8"/>
  <c r="G70" i="8" s="1"/>
  <c r="H70" i="8" s="1"/>
  <c r="F71" i="8"/>
  <c r="G71" i="8" s="1"/>
  <c r="H71" i="8" s="1"/>
  <c r="F74" i="8"/>
  <c r="G74" i="8" s="1"/>
  <c r="H74" i="8" s="1"/>
  <c r="F78" i="8"/>
  <c r="G78" i="8" s="1"/>
  <c r="H78" i="8" s="1"/>
  <c r="F84" i="8"/>
  <c r="G84" i="8" s="1"/>
  <c r="H84" i="8" s="1"/>
  <c r="F85" i="8"/>
  <c r="G85" i="8" s="1"/>
  <c r="H85" i="8" s="1"/>
  <c r="F3" i="8"/>
  <c r="G3" i="8" s="1"/>
  <c r="H3" i="8" s="1"/>
  <c r="F7" i="8"/>
  <c r="G7" i="8" s="1"/>
  <c r="H7" i="8" s="1"/>
  <c r="F15" i="8"/>
  <c r="G15" i="8" s="1"/>
  <c r="H15" i="8" s="1"/>
  <c r="F89" i="8"/>
  <c r="G89" i="8" s="1"/>
  <c r="H89" i="8" s="1"/>
  <c r="F2" i="8"/>
  <c r="G2" i="8" s="1"/>
  <c r="F6" i="8"/>
  <c r="G6" i="8" s="1"/>
  <c r="H6" i="8" s="1"/>
  <c r="F13" i="8"/>
  <c r="G13" i="8" s="1"/>
  <c r="H13" i="8" s="1"/>
  <c r="F16" i="8"/>
  <c r="G16" i="8" s="1"/>
  <c r="H16" i="8" s="1"/>
  <c r="F17" i="8"/>
  <c r="G17" i="8" s="1"/>
  <c r="H17" i="8" s="1"/>
  <c r="F18" i="8"/>
  <c r="G18" i="8" s="1"/>
  <c r="H18" i="8" s="1"/>
  <c r="F19" i="8"/>
  <c r="G19" i="8" s="1"/>
  <c r="H19" i="8" s="1"/>
  <c r="F20" i="8"/>
  <c r="G20" i="8" s="1"/>
  <c r="H20" i="8" s="1"/>
  <c r="F21" i="8"/>
  <c r="G21" i="8" s="1"/>
  <c r="H21" i="8" s="1"/>
  <c r="F22" i="8"/>
  <c r="G22" i="8" s="1"/>
  <c r="H22" i="8" s="1"/>
  <c r="F23" i="8"/>
  <c r="G23" i="8" s="1"/>
  <c r="H23" i="8" s="1"/>
  <c r="F24" i="8"/>
  <c r="G24" i="8" s="1"/>
  <c r="H24" i="8" s="1"/>
  <c r="F25" i="8"/>
  <c r="G25" i="8" s="1"/>
  <c r="H25" i="8" s="1"/>
  <c r="F26" i="8"/>
  <c r="G26" i="8" s="1"/>
  <c r="H26" i="8" s="1"/>
  <c r="F27" i="8"/>
  <c r="G27" i="8" s="1"/>
  <c r="H27" i="8" s="1"/>
  <c r="F28" i="8"/>
  <c r="G28" i="8" s="1"/>
  <c r="H28" i="8" s="1"/>
  <c r="F29" i="8"/>
  <c r="G29" i="8" s="1"/>
  <c r="H29" i="8" s="1"/>
  <c r="F30" i="8"/>
  <c r="G30" i="8" s="1"/>
  <c r="H30" i="8" s="1"/>
  <c r="F31" i="8"/>
  <c r="G31" i="8" s="1"/>
  <c r="H31" i="8" s="1"/>
  <c r="F32" i="8"/>
  <c r="G32" i="8" s="1"/>
  <c r="H32" i="8" s="1"/>
  <c r="F33" i="8"/>
  <c r="G33" i="8" s="1"/>
  <c r="H33" i="8" s="1"/>
  <c r="F34" i="8"/>
  <c r="G34" i="8" s="1"/>
  <c r="H34" i="8" s="1"/>
  <c r="F35" i="8"/>
  <c r="G35" i="8" s="1"/>
  <c r="H35" i="8" s="1"/>
  <c r="F36" i="8"/>
  <c r="G36" i="8" s="1"/>
  <c r="H36" i="8" s="1"/>
  <c r="F37" i="8"/>
  <c r="G37" i="8" s="1"/>
  <c r="H37" i="8" s="1"/>
  <c r="F38" i="8"/>
  <c r="G38" i="8" s="1"/>
  <c r="H38" i="8" s="1"/>
  <c r="F39" i="8"/>
  <c r="G39" i="8" s="1"/>
  <c r="H39" i="8" s="1"/>
  <c r="F40" i="8"/>
  <c r="G40" i="8" s="1"/>
  <c r="H40" i="8" s="1"/>
  <c r="F41" i="8"/>
  <c r="G41" i="8" s="1"/>
  <c r="H41" i="8" s="1"/>
  <c r="F42" i="8"/>
  <c r="G42" i="8" s="1"/>
  <c r="H42" i="8" s="1"/>
  <c r="F43" i="8"/>
  <c r="G43" i="8" s="1"/>
  <c r="H43" i="8" s="1"/>
  <c r="F95" i="8"/>
  <c r="G95" i="8" s="1"/>
  <c r="H95" i="8" s="1"/>
  <c r="F85" i="6"/>
  <c r="G85" i="6" s="1"/>
  <c r="H85" i="6" s="1"/>
  <c r="F75" i="6"/>
  <c r="G75" i="6" s="1"/>
  <c r="H75" i="6" s="1"/>
  <c r="F83" i="6"/>
  <c r="G83" i="6" s="1"/>
  <c r="H83" i="6" s="1"/>
  <c r="F73" i="6"/>
  <c r="G73" i="6" s="1"/>
  <c r="H73" i="6" s="1"/>
  <c r="F92" i="6"/>
  <c r="G92" i="6" s="1"/>
  <c r="H92" i="6" s="1"/>
  <c r="F81" i="6"/>
  <c r="G81" i="6" s="1"/>
  <c r="H81" i="6" s="1"/>
  <c r="F90" i="6"/>
  <c r="G90" i="6" s="1"/>
  <c r="H90" i="6" s="1"/>
  <c r="F95" i="6"/>
  <c r="G95" i="6" s="1"/>
  <c r="H95" i="6" s="1"/>
  <c r="F72" i="6"/>
  <c r="G72" i="6" s="1"/>
  <c r="H72" i="6" s="1"/>
  <c r="F59" i="6"/>
  <c r="G59" i="6" s="1"/>
  <c r="H59" i="6" s="1"/>
  <c r="F89" i="6"/>
  <c r="G89" i="6" s="1"/>
  <c r="H89" i="6" s="1"/>
  <c r="F71" i="6"/>
  <c r="G71" i="6" s="1"/>
  <c r="H71" i="6" s="1"/>
  <c r="F86" i="6"/>
  <c r="G86" i="6" s="1"/>
  <c r="H86" i="6" s="1"/>
  <c r="F2" i="6"/>
  <c r="G2" i="6" s="1"/>
  <c r="F3" i="6"/>
  <c r="G3" i="6" s="1"/>
  <c r="H3" i="6" s="1"/>
  <c r="F4" i="6"/>
  <c r="G4" i="6" s="1"/>
  <c r="H4" i="6" s="1"/>
  <c r="F5" i="6"/>
  <c r="G5" i="6" s="1"/>
  <c r="H5" i="6" s="1"/>
  <c r="F6" i="6"/>
  <c r="G6" i="6" s="1"/>
  <c r="H6" i="6" s="1"/>
  <c r="F7" i="6"/>
  <c r="G7" i="6" s="1"/>
  <c r="H7" i="6" s="1"/>
  <c r="F8" i="6"/>
  <c r="G8" i="6" s="1"/>
  <c r="H8" i="6" s="1"/>
  <c r="F9" i="6"/>
  <c r="G9" i="6" s="1"/>
  <c r="H9" i="6" s="1"/>
  <c r="F10" i="6"/>
  <c r="G10" i="6" s="1"/>
  <c r="H10" i="6" s="1"/>
  <c r="F11" i="6"/>
  <c r="G11" i="6" s="1"/>
  <c r="H11" i="6" s="1"/>
  <c r="F12" i="6"/>
  <c r="G12" i="6" s="1"/>
  <c r="H12" i="6" s="1"/>
  <c r="F13" i="6"/>
  <c r="G13" i="6" s="1"/>
  <c r="H13" i="6" s="1"/>
  <c r="F14" i="6"/>
  <c r="G14" i="6" s="1"/>
  <c r="H14" i="6" s="1"/>
  <c r="F15" i="6"/>
  <c r="G15" i="6" s="1"/>
  <c r="H15" i="6" s="1"/>
  <c r="F16" i="6"/>
  <c r="G16" i="6" s="1"/>
  <c r="H16" i="6" s="1"/>
  <c r="F17" i="6"/>
  <c r="G17" i="6" s="1"/>
  <c r="H17" i="6" s="1"/>
  <c r="F18" i="6"/>
  <c r="G18" i="6" s="1"/>
  <c r="H18" i="6" s="1"/>
  <c r="F19" i="6"/>
  <c r="G19" i="6" s="1"/>
  <c r="H19" i="6" s="1"/>
  <c r="F20" i="6"/>
  <c r="G20" i="6" s="1"/>
  <c r="H20" i="6" s="1"/>
  <c r="F21" i="6"/>
  <c r="G21" i="6" s="1"/>
  <c r="H21" i="6" s="1"/>
  <c r="F22" i="6"/>
  <c r="G22" i="6" s="1"/>
  <c r="H22" i="6" s="1"/>
  <c r="F23" i="6"/>
  <c r="G23" i="6" s="1"/>
  <c r="H23" i="6" s="1"/>
  <c r="F24" i="6"/>
  <c r="G24" i="6" s="1"/>
  <c r="H24" i="6" s="1"/>
  <c r="F25" i="6"/>
  <c r="G25" i="6" s="1"/>
  <c r="H25" i="6" s="1"/>
  <c r="F26" i="6"/>
  <c r="G26" i="6" s="1"/>
  <c r="H26" i="6" s="1"/>
  <c r="F27" i="6"/>
  <c r="G27" i="6" s="1"/>
  <c r="H27" i="6" s="1"/>
  <c r="F28" i="6"/>
  <c r="G28" i="6" s="1"/>
  <c r="H28" i="6" s="1"/>
  <c r="F29" i="6"/>
  <c r="G29" i="6" s="1"/>
  <c r="H29" i="6" s="1"/>
  <c r="F30" i="6"/>
  <c r="G30" i="6" s="1"/>
  <c r="H30" i="6" s="1"/>
  <c r="F31" i="6"/>
  <c r="G31" i="6" s="1"/>
  <c r="H31" i="6" s="1"/>
  <c r="F32" i="6"/>
  <c r="G32" i="6" s="1"/>
  <c r="H32" i="6" s="1"/>
  <c r="F33" i="6"/>
  <c r="G33" i="6" s="1"/>
  <c r="H33" i="6" s="1"/>
  <c r="F34" i="6"/>
  <c r="G34" i="6" s="1"/>
  <c r="H34" i="6" s="1"/>
  <c r="F35" i="6"/>
  <c r="G35" i="6" s="1"/>
  <c r="H35" i="6" s="1"/>
  <c r="F36" i="6"/>
  <c r="G36" i="6" s="1"/>
  <c r="H36" i="6" s="1"/>
  <c r="F45" i="6"/>
  <c r="G45" i="6" s="1"/>
  <c r="H45" i="6" s="1"/>
  <c r="F47" i="6"/>
  <c r="G47" i="6" s="1"/>
  <c r="H47" i="6" s="1"/>
  <c r="F49" i="6"/>
  <c r="G49" i="6" s="1"/>
  <c r="H49" i="6" s="1"/>
  <c r="F52" i="6"/>
  <c r="G52" i="6" s="1"/>
  <c r="H52" i="6" s="1"/>
  <c r="F54" i="6"/>
  <c r="G54" i="6" s="1"/>
  <c r="H54" i="6" s="1"/>
  <c r="F57" i="6"/>
  <c r="G57" i="6" s="1"/>
  <c r="H57" i="6" s="1"/>
  <c r="F62" i="6"/>
  <c r="G62" i="6" s="1"/>
  <c r="H62" i="6" s="1"/>
  <c r="F65" i="6"/>
  <c r="G65" i="6" s="1"/>
  <c r="H65" i="6" s="1"/>
  <c r="F67" i="6"/>
  <c r="G67" i="6" s="1"/>
  <c r="H67" i="6" s="1"/>
  <c r="F70" i="6"/>
  <c r="G70" i="6" s="1"/>
  <c r="H70" i="6" s="1"/>
  <c r="F77" i="6"/>
  <c r="G77" i="6" s="1"/>
  <c r="H77" i="6" s="1"/>
  <c r="F78" i="6"/>
  <c r="G78" i="6" s="1"/>
  <c r="H78" i="6" s="1"/>
  <c r="F80" i="6"/>
  <c r="G80" i="6" s="1"/>
  <c r="H80" i="6" s="1"/>
  <c r="F82" i="6"/>
  <c r="G82" i="6" s="1"/>
  <c r="H82" i="6" s="1"/>
  <c r="F84" i="6"/>
  <c r="G84" i="6" s="1"/>
  <c r="H84" i="6" s="1"/>
  <c r="F87" i="6"/>
  <c r="G87" i="6" s="1"/>
  <c r="H87" i="6" s="1"/>
  <c r="F88" i="6"/>
  <c r="G88" i="6" s="1"/>
  <c r="H88" i="6" s="1"/>
  <c r="F91" i="6"/>
  <c r="G91" i="6" s="1"/>
  <c r="H91" i="6" s="1"/>
  <c r="F37" i="6"/>
  <c r="G37" i="6" s="1"/>
  <c r="H37" i="6" s="1"/>
  <c r="F40" i="6"/>
  <c r="G40" i="6" s="1"/>
  <c r="H40" i="6" s="1"/>
  <c r="F42" i="6"/>
  <c r="G42" i="6" s="1"/>
  <c r="H42" i="6" s="1"/>
  <c r="F46" i="6"/>
  <c r="G46" i="6" s="1"/>
  <c r="H46" i="6" s="1"/>
  <c r="F48" i="6"/>
  <c r="G48" i="6" s="1"/>
  <c r="H48" i="6" s="1"/>
  <c r="F50" i="6"/>
  <c r="G50" i="6" s="1"/>
  <c r="H50" i="6" s="1"/>
  <c r="F53" i="6"/>
  <c r="G53" i="6" s="1"/>
  <c r="H53" i="6" s="1"/>
  <c r="F56" i="6"/>
  <c r="G56" i="6" s="1"/>
  <c r="H56" i="6" s="1"/>
  <c r="F61" i="6"/>
  <c r="G61" i="6" s="1"/>
  <c r="H61" i="6" s="1"/>
  <c r="F63" i="6"/>
  <c r="G63" i="6" s="1"/>
  <c r="H63" i="6" s="1"/>
  <c r="F68" i="6"/>
  <c r="G68" i="6" s="1"/>
  <c r="H68" i="6" s="1"/>
  <c r="F74" i="6"/>
  <c r="G74" i="6" s="1"/>
  <c r="H74" i="6" s="1"/>
  <c r="F38" i="6"/>
  <c r="G38" i="6" s="1"/>
  <c r="H38" i="6" s="1"/>
  <c r="F41" i="6"/>
  <c r="G41" i="6" s="1"/>
  <c r="H41" i="6" s="1"/>
  <c r="F43" i="6"/>
  <c r="G43" i="6" s="1"/>
  <c r="H43" i="6" s="1"/>
  <c r="F51" i="6"/>
  <c r="G51" i="6" s="1"/>
  <c r="H51" i="6" s="1"/>
  <c r="F55" i="6"/>
  <c r="G55" i="6" s="1"/>
  <c r="H55" i="6" s="1"/>
  <c r="F60" i="6"/>
  <c r="G60" i="6" s="1"/>
  <c r="H60" i="6" s="1"/>
  <c r="F64" i="6"/>
  <c r="G64" i="6" s="1"/>
  <c r="H64" i="6" s="1"/>
  <c r="F66" i="6"/>
  <c r="G66" i="6" s="1"/>
  <c r="H66" i="6" s="1"/>
  <c r="F69" i="6"/>
  <c r="G69" i="6" s="1"/>
  <c r="H69" i="6" s="1"/>
  <c r="F76" i="6"/>
  <c r="G76" i="6" s="1"/>
  <c r="H76" i="6" s="1"/>
  <c r="F79" i="6"/>
  <c r="G79" i="6" s="1"/>
  <c r="H79" i="6" s="1"/>
  <c r="F39" i="6"/>
  <c r="G39" i="6" s="1"/>
  <c r="H39" i="6" s="1"/>
  <c r="F44" i="6"/>
  <c r="G44" i="6" s="1"/>
  <c r="H44" i="6" s="1"/>
  <c r="F58" i="6"/>
  <c r="G58" i="6" s="1"/>
  <c r="H58" i="6" s="1"/>
  <c r="F93" i="6"/>
  <c r="G93" i="6" s="1"/>
  <c r="H93" i="6" s="1"/>
  <c r="F4" i="3"/>
  <c r="G4" i="3" s="1"/>
  <c r="H4" i="3" s="1"/>
  <c r="F49" i="3"/>
  <c r="G49" i="3" s="1"/>
  <c r="H49" i="3" s="1"/>
  <c r="F7" i="3"/>
  <c r="G7" i="3" s="1"/>
  <c r="H7" i="3" s="1"/>
  <c r="F23" i="3"/>
  <c r="G23" i="3" s="1"/>
  <c r="H23" i="3" s="1"/>
  <c r="F39" i="3"/>
  <c r="G39" i="3" s="1"/>
  <c r="H39" i="3" s="1"/>
  <c r="F55" i="3"/>
  <c r="G55" i="3" s="1"/>
  <c r="H55" i="3" s="1"/>
  <c r="F71" i="3"/>
  <c r="G71" i="3" s="1"/>
  <c r="H71" i="3" s="1"/>
  <c r="F87" i="3"/>
  <c r="G87" i="3" s="1"/>
  <c r="H87" i="3" s="1"/>
  <c r="F82" i="3"/>
  <c r="G82" i="3" s="1"/>
  <c r="H82" i="3" s="1"/>
  <c r="F8" i="3"/>
  <c r="G8" i="3" s="1"/>
  <c r="H8" i="3" s="1"/>
  <c r="F24" i="3"/>
  <c r="G24" i="3" s="1"/>
  <c r="H24" i="3" s="1"/>
  <c r="F40" i="3"/>
  <c r="G40" i="3" s="1"/>
  <c r="H40" i="3" s="1"/>
  <c r="F56" i="3"/>
  <c r="G56" i="3" s="1"/>
  <c r="H56" i="3" s="1"/>
  <c r="F72" i="3"/>
  <c r="G72" i="3" s="1"/>
  <c r="H72" i="3" s="1"/>
  <c r="F88" i="3"/>
  <c r="G88" i="3" s="1"/>
  <c r="H88" i="3" s="1"/>
  <c r="F50" i="3"/>
  <c r="G50" i="3" s="1"/>
  <c r="H50" i="3" s="1"/>
  <c r="F9" i="3"/>
  <c r="G9" i="3" s="1"/>
  <c r="H9" i="3" s="1"/>
  <c r="F25" i="3"/>
  <c r="G25" i="3" s="1"/>
  <c r="H25" i="3" s="1"/>
  <c r="F41" i="3"/>
  <c r="G41" i="3" s="1"/>
  <c r="H41" i="3" s="1"/>
  <c r="F57" i="3"/>
  <c r="G57" i="3" s="1"/>
  <c r="H57" i="3" s="1"/>
  <c r="F73" i="3"/>
  <c r="G73" i="3" s="1"/>
  <c r="H73" i="3" s="1"/>
  <c r="F89" i="3"/>
  <c r="G89" i="3" s="1"/>
  <c r="H89" i="3" s="1"/>
  <c r="F65" i="3"/>
  <c r="G65" i="3" s="1"/>
  <c r="H65" i="3" s="1"/>
  <c r="F10" i="3"/>
  <c r="G10" i="3" s="1"/>
  <c r="H10" i="3" s="1"/>
  <c r="F26" i="3"/>
  <c r="G26" i="3" s="1"/>
  <c r="H26" i="3" s="1"/>
  <c r="F42" i="3"/>
  <c r="G42" i="3" s="1"/>
  <c r="H42" i="3" s="1"/>
  <c r="F58" i="3"/>
  <c r="G58" i="3" s="1"/>
  <c r="H58" i="3" s="1"/>
  <c r="F74" i="3"/>
  <c r="G74" i="3" s="1"/>
  <c r="H74" i="3" s="1"/>
  <c r="F90" i="3"/>
  <c r="G90" i="3" s="1"/>
  <c r="H90" i="3" s="1"/>
  <c r="F2" i="3"/>
  <c r="G2" i="3" s="1"/>
  <c r="F11" i="3"/>
  <c r="G11" i="3" s="1"/>
  <c r="H11" i="3" s="1"/>
  <c r="F27" i="3"/>
  <c r="G27" i="3" s="1"/>
  <c r="H27" i="3" s="1"/>
  <c r="F43" i="3"/>
  <c r="G43" i="3" s="1"/>
  <c r="H43" i="3" s="1"/>
  <c r="F59" i="3"/>
  <c r="G59" i="3" s="1"/>
  <c r="H59" i="3" s="1"/>
  <c r="F75" i="3"/>
  <c r="G75" i="3" s="1"/>
  <c r="H75" i="3" s="1"/>
  <c r="F91" i="3"/>
  <c r="G91" i="3" s="1"/>
  <c r="H91" i="3" s="1"/>
  <c r="F51" i="3"/>
  <c r="G51" i="3" s="1"/>
  <c r="H51" i="3" s="1"/>
  <c r="F6" i="3"/>
  <c r="G6" i="3" s="1"/>
  <c r="H6" i="3" s="1"/>
  <c r="F62" i="3"/>
  <c r="G62" i="3" s="1"/>
  <c r="H62" i="3" s="1"/>
  <c r="F32" i="3"/>
  <c r="G32" i="3" s="1"/>
  <c r="H32" i="3" s="1"/>
  <c r="F79" i="3"/>
  <c r="G79" i="3" s="1"/>
  <c r="H79" i="3" s="1"/>
  <c r="F16" i="3"/>
  <c r="G16" i="3" s="1"/>
  <c r="H16" i="3" s="1"/>
  <c r="F31" i="3"/>
  <c r="G31" i="3" s="1"/>
  <c r="H31" i="3" s="1"/>
  <c r="F18" i="3"/>
  <c r="G18" i="3" s="1"/>
  <c r="H18" i="3" s="1"/>
  <c r="F84" i="3"/>
  <c r="G84" i="3" s="1"/>
  <c r="H84" i="3" s="1"/>
  <c r="F70" i="3"/>
  <c r="G70" i="3" s="1"/>
  <c r="H70" i="3" s="1"/>
  <c r="F44" i="3"/>
  <c r="G44" i="3" s="1"/>
  <c r="H44" i="3" s="1"/>
  <c r="F48" i="3"/>
  <c r="G48" i="3" s="1"/>
  <c r="H48" i="3" s="1"/>
  <c r="F95" i="3"/>
  <c r="G95" i="3" s="1"/>
  <c r="H95" i="3" s="1"/>
  <c r="F36" i="3"/>
  <c r="G36" i="3" s="1"/>
  <c r="H36" i="3" s="1"/>
  <c r="F28" i="3"/>
  <c r="G28" i="3" s="1"/>
  <c r="H28" i="3" s="1"/>
  <c r="F30" i="3"/>
  <c r="G30" i="3" s="1"/>
  <c r="H30" i="3" s="1"/>
  <c r="F53" i="3"/>
  <c r="G53" i="3" s="1"/>
  <c r="H53" i="3" s="1"/>
  <c r="F12" i="3"/>
  <c r="G12" i="3" s="1"/>
  <c r="H12" i="3" s="1"/>
  <c r="F92" i="3"/>
  <c r="G92" i="3" s="1"/>
  <c r="H92" i="3" s="1"/>
  <c r="F13" i="3"/>
  <c r="G13" i="3" s="1"/>
  <c r="H13" i="3" s="1"/>
  <c r="F77" i="3"/>
  <c r="G77" i="3" s="1"/>
  <c r="H77" i="3" s="1"/>
  <c r="F17" i="3"/>
  <c r="G17" i="3" s="1"/>
  <c r="H17" i="3" s="1"/>
  <c r="F19" i="3"/>
  <c r="G19" i="3" s="1"/>
  <c r="H19" i="3" s="1"/>
  <c r="F81" i="3"/>
  <c r="G81" i="3" s="1"/>
  <c r="H81" i="3" s="1"/>
  <c r="F85" i="3"/>
  <c r="G85" i="3" s="1"/>
  <c r="H85" i="3" s="1"/>
  <c r="F33" i="3"/>
  <c r="G33" i="3" s="1"/>
  <c r="H33" i="3" s="1"/>
  <c r="F38" i="3"/>
  <c r="G38" i="3" s="1"/>
  <c r="H38" i="3" s="1"/>
  <c r="F46" i="3"/>
  <c r="G46" i="3" s="1"/>
  <c r="H46" i="3" s="1"/>
  <c r="F83" i="3"/>
  <c r="G83" i="3" s="1"/>
  <c r="H83" i="3" s="1"/>
  <c r="F60" i="3"/>
  <c r="G60" i="3" s="1"/>
  <c r="H60" i="3" s="1"/>
  <c r="F34" i="3"/>
  <c r="G34" i="3" s="1"/>
  <c r="H34" i="3" s="1"/>
  <c r="F21" i="3"/>
  <c r="G21" i="3" s="1"/>
  <c r="H21" i="3" s="1"/>
  <c r="F69" i="3"/>
  <c r="G69" i="3" s="1"/>
  <c r="H69" i="3" s="1"/>
  <c r="F54" i="3"/>
  <c r="G54" i="3" s="1"/>
  <c r="H54" i="3" s="1"/>
  <c r="F66" i="3"/>
  <c r="G66" i="3" s="1"/>
  <c r="H66" i="3" s="1"/>
  <c r="F35" i="3"/>
  <c r="G35" i="3" s="1"/>
  <c r="H35" i="3" s="1"/>
  <c r="F20" i="3"/>
  <c r="G20" i="3" s="1"/>
  <c r="H20" i="3" s="1"/>
  <c r="F5" i="3"/>
  <c r="G5" i="3" s="1"/>
  <c r="H5" i="3" s="1"/>
  <c r="F93" i="3"/>
  <c r="G93" i="3" s="1"/>
  <c r="H93" i="3" s="1"/>
  <c r="F47" i="3"/>
  <c r="G47" i="3" s="1"/>
  <c r="H47" i="3" s="1"/>
  <c r="F76" i="3"/>
  <c r="G76" i="3" s="1"/>
  <c r="H76" i="3" s="1"/>
  <c r="F61" i="3"/>
  <c r="G61" i="3" s="1"/>
  <c r="H61" i="3" s="1"/>
  <c r="F78" i="3"/>
  <c r="G78" i="3" s="1"/>
  <c r="H78" i="3" s="1"/>
  <c r="F67" i="3"/>
  <c r="G67" i="3" s="1"/>
  <c r="H67" i="3" s="1"/>
  <c r="F52" i="3"/>
  <c r="G52" i="3" s="1"/>
  <c r="H52" i="3" s="1"/>
  <c r="F64" i="3"/>
  <c r="G64" i="3" s="1"/>
  <c r="H64" i="3" s="1"/>
  <c r="F45" i="3"/>
  <c r="G45" i="3" s="1"/>
  <c r="H45" i="3" s="1"/>
  <c r="F94" i="3"/>
  <c r="G94" i="3" s="1"/>
  <c r="H94" i="3" s="1"/>
  <c r="F63" i="3"/>
  <c r="G63" i="3" s="1"/>
  <c r="H63" i="3" s="1"/>
  <c r="F68" i="3"/>
  <c r="G68" i="3" s="1"/>
  <c r="H68" i="3" s="1"/>
  <c r="F22" i="3"/>
  <c r="G22" i="3" s="1"/>
  <c r="H22" i="3" s="1"/>
  <c r="F86" i="3"/>
  <c r="G86" i="3" s="1"/>
  <c r="H86" i="3" s="1"/>
  <c r="F80" i="3"/>
  <c r="G80" i="3" s="1"/>
  <c r="H80" i="3" s="1"/>
  <c r="F14" i="3"/>
  <c r="G14" i="3" s="1"/>
  <c r="H14" i="3" s="1"/>
  <c r="F15" i="3"/>
  <c r="G15" i="3" s="1"/>
  <c r="H15" i="3" s="1"/>
  <c r="F37" i="3"/>
  <c r="G37" i="3" s="1"/>
  <c r="H37" i="3" s="1"/>
  <c r="F29" i="3"/>
  <c r="G29" i="3" s="1"/>
  <c r="H29" i="3" s="1"/>
  <c r="F3" i="3"/>
  <c r="G3" i="3" s="1"/>
  <c r="H3" i="3" s="1"/>
  <c r="I20" i="13"/>
  <c r="I48" i="13"/>
  <c r="I4" i="13"/>
  <c r="I38" i="13"/>
  <c r="I46" i="13"/>
  <c r="I32" i="13"/>
  <c r="I23" i="13"/>
  <c r="I2" i="13"/>
  <c r="I8" i="13"/>
  <c r="I56" i="13"/>
  <c r="I61" i="13"/>
  <c r="I67" i="13"/>
  <c r="I34" i="13"/>
  <c r="I19" i="13"/>
  <c r="I9" i="13"/>
  <c r="I54" i="13"/>
  <c r="I12" i="13"/>
  <c r="I37" i="13"/>
  <c r="I47" i="13"/>
  <c r="I5" i="13"/>
  <c r="I45" i="13"/>
  <c r="I15" i="13"/>
  <c r="I92" i="13"/>
  <c r="I35" i="13"/>
  <c r="I18" i="13"/>
  <c r="I59" i="13"/>
  <c r="I27" i="13"/>
  <c r="I75" i="13"/>
  <c r="I87" i="13"/>
  <c r="I62" i="13"/>
  <c r="I80" i="13"/>
  <c r="I69" i="13"/>
  <c r="I90" i="13"/>
  <c r="I41" i="13"/>
  <c r="I94" i="13"/>
  <c r="I66" i="13"/>
  <c r="I51" i="13"/>
  <c r="I55" i="13"/>
  <c r="I82" i="13"/>
  <c r="I70" i="13"/>
  <c r="I22" i="13"/>
  <c r="I79" i="13"/>
  <c r="I91" i="13"/>
  <c r="I72" i="13"/>
  <c r="I95" i="13"/>
  <c r="I64" i="13"/>
  <c r="I89" i="13"/>
  <c r="I6" i="13"/>
  <c r="I30" i="13"/>
  <c r="I74" i="13"/>
  <c r="I26" i="13"/>
  <c r="I31" i="13"/>
  <c r="I50" i="13"/>
  <c r="I3" i="13"/>
  <c r="I78" i="13"/>
  <c r="I60" i="13"/>
  <c r="I13" i="13"/>
  <c r="I11" i="13"/>
  <c r="I17" i="13"/>
  <c r="I63" i="13"/>
  <c r="I24" i="13"/>
  <c r="I85" i="13"/>
  <c r="I44" i="13"/>
  <c r="I40" i="13"/>
  <c r="I93" i="13"/>
  <c r="I84" i="13"/>
  <c r="I49" i="13"/>
  <c r="I7" i="13"/>
  <c r="I68" i="13"/>
  <c r="I52" i="13"/>
  <c r="I73" i="13"/>
  <c r="I56" i="12"/>
  <c r="I47" i="12"/>
  <c r="I63" i="12"/>
  <c r="I72" i="12"/>
  <c r="I89" i="12"/>
  <c r="I81" i="12"/>
  <c r="I86" i="12"/>
  <c r="I69" i="12"/>
  <c r="I25" i="12"/>
  <c r="I9" i="12"/>
  <c r="I5" i="12"/>
  <c r="I71" i="12"/>
  <c r="I48" i="12"/>
  <c r="I22" i="12"/>
  <c r="I42" i="12"/>
  <c r="I11" i="12"/>
  <c r="I87" i="12"/>
  <c r="I74" i="12"/>
  <c r="I54" i="12"/>
  <c r="I18" i="12"/>
  <c r="I7" i="12"/>
  <c r="I15" i="12"/>
  <c r="I64" i="12"/>
  <c r="I67" i="12"/>
  <c r="I24" i="12"/>
  <c r="I26" i="12"/>
  <c r="I34" i="12"/>
  <c r="I83" i="12"/>
  <c r="I80" i="12"/>
  <c r="I59" i="12"/>
  <c r="I40" i="12"/>
  <c r="I4" i="12"/>
  <c r="I36" i="12"/>
  <c r="I21" i="12"/>
  <c r="I19" i="12"/>
  <c r="I14" i="12"/>
  <c r="I61" i="12"/>
  <c r="I29" i="12"/>
  <c r="I70" i="12"/>
  <c r="I33" i="12"/>
  <c r="I91" i="12"/>
  <c r="I41" i="12"/>
  <c r="I12" i="12"/>
  <c r="I39" i="12"/>
  <c r="I28" i="12"/>
  <c r="I77" i="12"/>
  <c r="I17" i="12"/>
  <c r="I13" i="12"/>
  <c r="I20" i="12"/>
  <c r="I38" i="12"/>
  <c r="I6" i="12"/>
  <c r="I90" i="12"/>
  <c r="I62" i="12"/>
  <c r="I84" i="12"/>
  <c r="I8" i="12"/>
  <c r="I78" i="12"/>
  <c r="I32" i="12"/>
  <c r="I31" i="12"/>
  <c r="I75" i="12"/>
  <c r="I43" i="12"/>
  <c r="I3" i="12"/>
  <c r="I16" i="12"/>
  <c r="I51" i="12"/>
  <c r="I94" i="12"/>
  <c r="I45" i="12"/>
  <c r="I55" i="12"/>
  <c r="I10" i="12"/>
  <c r="I23" i="12"/>
  <c r="I58" i="12"/>
  <c r="I46" i="12"/>
  <c r="I27" i="12"/>
  <c r="I37" i="12"/>
  <c r="I30" i="12"/>
  <c r="I35" i="12"/>
  <c r="I88" i="12"/>
  <c r="I50" i="12"/>
  <c r="I60" i="12"/>
  <c r="I68" i="12"/>
  <c r="I79" i="12"/>
  <c r="I76" i="12"/>
  <c r="I49" i="12"/>
  <c r="I82" i="12"/>
  <c r="I44" i="12"/>
  <c r="I85" i="12"/>
  <c r="I52" i="12"/>
  <c r="I65" i="12"/>
  <c r="I73" i="12"/>
  <c r="I53" i="12"/>
  <c r="I66" i="12"/>
  <c r="I95" i="12"/>
  <c r="I57" i="12"/>
  <c r="I93" i="12"/>
  <c r="I92" i="12"/>
  <c r="I20" i="11"/>
  <c r="I11" i="11"/>
  <c r="I19" i="11"/>
  <c r="I40" i="11"/>
  <c r="I33" i="11"/>
  <c r="I87" i="11"/>
  <c r="I36" i="11"/>
  <c r="I30" i="11"/>
  <c r="I51" i="11"/>
  <c r="I86" i="11"/>
  <c r="I38" i="11"/>
  <c r="I74" i="11"/>
  <c r="I52" i="11"/>
  <c r="I69" i="11"/>
  <c r="I21" i="11"/>
  <c r="I54" i="11"/>
  <c r="I18" i="11"/>
  <c r="I93" i="11"/>
  <c r="I39" i="11"/>
  <c r="I59" i="11"/>
  <c r="I46" i="11"/>
  <c r="I22" i="11"/>
  <c r="I82" i="11"/>
  <c r="I67" i="11"/>
  <c r="I66" i="11"/>
  <c r="I13" i="11"/>
  <c r="I76" i="11"/>
  <c r="I83" i="11"/>
  <c r="I56" i="11"/>
  <c r="I77" i="11"/>
  <c r="I41" i="11"/>
  <c r="I37" i="11"/>
  <c r="I57" i="11"/>
  <c r="I95" i="11"/>
  <c r="I47" i="11"/>
  <c r="I55" i="11"/>
  <c r="I50" i="11"/>
  <c r="I90" i="11"/>
  <c r="I68" i="11"/>
  <c r="I62" i="11"/>
  <c r="I73" i="11"/>
  <c r="I65" i="11"/>
  <c r="I89" i="11"/>
  <c r="I79" i="11"/>
  <c r="I34" i="11"/>
  <c r="I23" i="11"/>
  <c r="I71" i="11"/>
  <c r="I32" i="11"/>
  <c r="I70" i="11"/>
  <c r="I7" i="11"/>
  <c r="I35" i="11"/>
  <c r="I85" i="11"/>
  <c r="I31" i="11"/>
  <c r="I43" i="11"/>
  <c r="I88" i="11"/>
  <c r="I92" i="11"/>
  <c r="I15" i="11"/>
  <c r="I64" i="11"/>
  <c r="I12" i="11"/>
  <c r="I26" i="11"/>
  <c r="I72" i="11"/>
  <c r="I45" i="11"/>
  <c r="I14" i="11"/>
  <c r="I49" i="11"/>
  <c r="I17" i="11"/>
  <c r="I6" i="11"/>
  <c r="I29" i="11"/>
  <c r="I63" i="11"/>
  <c r="I5" i="11"/>
  <c r="I48" i="11"/>
  <c r="I94" i="11"/>
  <c r="I2" i="11"/>
  <c r="I78" i="11"/>
  <c r="I10" i="11"/>
  <c r="I44" i="11"/>
  <c r="I91" i="11"/>
  <c r="I81" i="11"/>
  <c r="I4" i="11"/>
  <c r="I16" i="11"/>
  <c r="I3" i="11"/>
  <c r="I75" i="11"/>
  <c r="I24" i="11"/>
  <c r="I58" i="11"/>
  <c r="I53" i="11"/>
  <c r="I60" i="11"/>
  <c r="I28" i="11"/>
  <c r="I84" i="11"/>
  <c r="I42" i="11"/>
  <c r="I25" i="11"/>
  <c r="I27" i="11"/>
  <c r="I61" i="11"/>
  <c r="I80" i="11"/>
  <c r="I8" i="11"/>
  <c r="I9" i="11"/>
  <c r="I85" i="10"/>
  <c r="I36" i="10"/>
  <c r="I33" i="10"/>
  <c r="I83" i="10"/>
  <c r="I53" i="10"/>
  <c r="I78" i="10"/>
  <c r="I71" i="10"/>
  <c r="I66" i="10"/>
  <c r="I56" i="10"/>
  <c r="I29" i="10"/>
  <c r="I32" i="10"/>
  <c r="I86" i="10"/>
  <c r="I9" i="10"/>
  <c r="I21" i="10"/>
  <c r="I39" i="10"/>
  <c r="I76" i="10"/>
  <c r="I41" i="10"/>
  <c r="I50" i="10"/>
  <c r="I92" i="10"/>
  <c r="I54" i="10"/>
  <c r="I60" i="10"/>
  <c r="I81" i="10"/>
  <c r="I43" i="10"/>
  <c r="I89" i="10"/>
  <c r="I27" i="10"/>
  <c r="I38" i="10"/>
  <c r="I95" i="10"/>
  <c r="I58" i="10"/>
  <c r="I75" i="10"/>
  <c r="I94" i="10"/>
  <c r="I87" i="10"/>
  <c r="I70" i="10"/>
  <c r="I34" i="10"/>
  <c r="I12" i="10"/>
  <c r="I72" i="10"/>
  <c r="I82" i="10"/>
  <c r="I61" i="10"/>
  <c r="I67" i="10"/>
  <c r="I51" i="10"/>
  <c r="I14" i="10"/>
  <c r="I90" i="10"/>
  <c r="I28" i="10"/>
  <c r="I46" i="10"/>
  <c r="I18" i="10"/>
  <c r="I16" i="10"/>
  <c r="I20" i="10"/>
  <c r="I65" i="10"/>
  <c r="I52" i="10"/>
  <c r="I6" i="10"/>
  <c r="I13" i="10"/>
  <c r="I91" i="10"/>
  <c r="I25" i="10"/>
  <c r="I40" i="10"/>
  <c r="I45" i="10"/>
  <c r="I8" i="10"/>
  <c r="I35" i="10"/>
  <c r="I93" i="10"/>
  <c r="I74" i="10"/>
  <c r="I88" i="10"/>
  <c r="I17" i="10"/>
  <c r="I5" i="10"/>
  <c r="I22" i="10"/>
  <c r="I80" i="10"/>
  <c r="I47" i="10"/>
  <c r="I4" i="10"/>
  <c r="I2" i="10"/>
  <c r="I19" i="10"/>
  <c r="I63" i="10"/>
  <c r="I57" i="10"/>
  <c r="I31" i="10"/>
  <c r="I24" i="10"/>
  <c r="I48" i="10"/>
  <c r="I62" i="10"/>
  <c r="I55" i="10"/>
  <c r="I15" i="10"/>
  <c r="I44" i="10"/>
  <c r="I23" i="10"/>
  <c r="I3" i="10"/>
  <c r="I77" i="10"/>
  <c r="I64" i="10"/>
  <c r="I49" i="10"/>
  <c r="I11" i="10"/>
  <c r="I73" i="10"/>
  <c r="I10" i="10"/>
  <c r="I7" i="10"/>
  <c r="I69" i="10"/>
  <c r="I37" i="10"/>
  <c r="I68" i="10"/>
  <c r="I84" i="10"/>
  <c r="I59" i="10"/>
  <c r="I79" i="10"/>
  <c r="I42" i="10"/>
  <c r="I30" i="10"/>
  <c r="I4" i="9"/>
  <c r="I11" i="9"/>
  <c r="I75" i="9"/>
  <c r="I43" i="9"/>
  <c r="I59" i="9"/>
  <c r="I27" i="9"/>
  <c r="I16" i="9"/>
  <c r="I53" i="9"/>
  <c r="I24" i="9"/>
  <c r="I32" i="9"/>
  <c r="I38" i="9"/>
  <c r="I66" i="9"/>
  <c r="I2" i="9"/>
  <c r="I47" i="9"/>
  <c r="I41" i="9"/>
  <c r="I50" i="9"/>
  <c r="I86" i="9"/>
  <c r="I8" i="9"/>
  <c r="I44" i="9"/>
  <c r="I85" i="9"/>
  <c r="I6" i="9"/>
  <c r="I5" i="9"/>
  <c r="I31" i="9"/>
  <c r="I15" i="9"/>
  <c r="I21" i="9"/>
  <c r="I56" i="9"/>
  <c r="I82" i="9"/>
  <c r="I51" i="9"/>
  <c r="I76" i="9"/>
  <c r="I22" i="9"/>
  <c r="I89" i="9"/>
  <c r="I73" i="9"/>
  <c r="I54" i="9"/>
  <c r="I35" i="9"/>
  <c r="I18" i="9"/>
  <c r="I67" i="9"/>
  <c r="I57" i="9"/>
  <c r="I63" i="9"/>
  <c r="I92" i="9"/>
  <c r="I70" i="9"/>
  <c r="I3" i="9"/>
  <c r="I72" i="9"/>
  <c r="I25" i="9"/>
  <c r="I83" i="9"/>
  <c r="I88" i="9"/>
  <c r="I60" i="9"/>
  <c r="I79" i="9"/>
  <c r="I84" i="9"/>
  <c r="I34" i="9"/>
  <c r="I12" i="9"/>
  <c r="I28" i="9"/>
  <c r="I95" i="9"/>
  <c r="I37" i="9"/>
  <c r="I40" i="9"/>
  <c r="I9" i="9"/>
  <c r="I69" i="9"/>
  <c r="I19" i="9"/>
  <c r="I29" i="9"/>
  <c r="I58" i="9"/>
  <c r="I10" i="9"/>
  <c r="I45" i="9"/>
  <c r="I94" i="9"/>
  <c r="I52" i="9"/>
  <c r="I13" i="9"/>
  <c r="I17" i="9"/>
  <c r="I30" i="9"/>
  <c r="I68" i="9"/>
  <c r="I20" i="9"/>
  <c r="I46" i="9"/>
  <c r="I55" i="9"/>
  <c r="I93" i="9"/>
  <c r="I74" i="9"/>
  <c r="I62" i="9"/>
  <c r="I42" i="9"/>
  <c r="I77" i="9"/>
  <c r="I81" i="9"/>
  <c r="I39" i="9"/>
  <c r="I78" i="9"/>
  <c r="I48" i="9"/>
  <c r="I87" i="9"/>
  <c r="I49" i="9"/>
  <c r="I26" i="9"/>
  <c r="I36" i="9"/>
  <c r="I23" i="9"/>
  <c r="I80" i="9"/>
  <c r="I65" i="9"/>
  <c r="I7" i="9"/>
  <c r="I61" i="9"/>
  <c r="I14" i="9"/>
  <c r="I71" i="9"/>
  <c r="I91" i="9"/>
  <c r="I64" i="9"/>
  <c r="I33" i="9"/>
  <c r="I90" i="9"/>
  <c r="I56" i="7"/>
  <c r="I11" i="7"/>
  <c r="I46" i="7"/>
  <c r="I19" i="7"/>
  <c r="I72" i="7"/>
  <c r="I5" i="7"/>
  <c r="I12" i="7"/>
  <c r="I95" i="7"/>
  <c r="I18" i="7"/>
  <c r="I4" i="7"/>
  <c r="I66" i="7"/>
  <c r="I83" i="7"/>
  <c r="I49" i="7"/>
  <c r="I73" i="7"/>
  <c r="I86" i="7"/>
  <c r="I87" i="7"/>
  <c r="I82" i="7"/>
  <c r="I69" i="7"/>
  <c r="I25" i="7"/>
  <c r="I78" i="7"/>
  <c r="I79" i="7"/>
  <c r="I94" i="7"/>
  <c r="I90" i="7"/>
  <c r="I58" i="7"/>
  <c r="I30" i="7"/>
  <c r="I57" i="7"/>
  <c r="I37" i="7"/>
  <c r="I92" i="7"/>
  <c r="I2" i="7"/>
  <c r="I33" i="7"/>
  <c r="I64" i="7"/>
  <c r="I47" i="7"/>
  <c r="I74" i="7"/>
  <c r="I9" i="7"/>
  <c r="I42" i="7"/>
  <c r="I20" i="7"/>
  <c r="I63" i="7"/>
  <c r="I84" i="7"/>
  <c r="I32" i="7"/>
  <c r="I50" i="7"/>
  <c r="I41" i="7"/>
  <c r="I88" i="7"/>
  <c r="I60" i="7"/>
  <c r="I68" i="7"/>
  <c r="I45" i="7"/>
  <c r="I59" i="7"/>
  <c r="I34" i="7"/>
  <c r="I48" i="7"/>
  <c r="I93" i="7"/>
  <c r="I8" i="7"/>
  <c r="I38" i="7"/>
  <c r="I24" i="7"/>
  <c r="I21" i="7"/>
  <c r="I28" i="7"/>
  <c r="I22" i="7"/>
  <c r="I29" i="7"/>
  <c r="I40" i="7"/>
  <c r="I36" i="7"/>
  <c r="I62" i="7"/>
  <c r="I67" i="7"/>
  <c r="I55" i="7"/>
  <c r="I81" i="7"/>
  <c r="I75" i="7"/>
  <c r="I16" i="7"/>
  <c r="I54" i="7"/>
  <c r="I23" i="7"/>
  <c r="I89" i="7"/>
  <c r="I65" i="7"/>
  <c r="I14" i="7"/>
  <c r="I26" i="7"/>
  <c r="I85" i="7"/>
  <c r="I91" i="7"/>
  <c r="I80" i="7"/>
  <c r="I70" i="7"/>
  <c r="I53" i="7"/>
  <c r="I13" i="7"/>
  <c r="I51" i="7"/>
  <c r="I7" i="7"/>
  <c r="I71" i="7"/>
  <c r="I44" i="7"/>
  <c r="I76" i="7"/>
  <c r="I31" i="7"/>
  <c r="I52" i="7"/>
  <c r="I43" i="7"/>
  <c r="I39" i="7"/>
  <c r="I99" i="12" l="1"/>
  <c r="I101" i="12"/>
  <c r="H101" i="5"/>
  <c r="H2" i="5"/>
  <c r="H99" i="5" s="1"/>
  <c r="H2" i="8"/>
  <c r="H99" i="8" s="1"/>
  <c r="H2" i="6"/>
  <c r="H2" i="3"/>
  <c r="H101" i="3" s="1"/>
  <c r="H99" i="3"/>
  <c r="H101" i="8"/>
  <c r="H101" i="6" l="1"/>
  <c r="H99" i="6"/>
  <c r="I2" i="5"/>
  <c r="I2" i="8"/>
  <c r="I84" i="5"/>
  <c r="I71" i="5"/>
  <c r="I64" i="5"/>
  <c r="I52" i="5"/>
  <c r="I45" i="5"/>
  <c r="I39" i="5"/>
  <c r="I36" i="5"/>
  <c r="I14" i="5"/>
  <c r="I10" i="5"/>
  <c r="I6" i="5"/>
  <c r="I4" i="5"/>
  <c r="I3" i="5"/>
  <c r="I21" i="5"/>
  <c r="I95" i="5"/>
  <c r="I86" i="5"/>
  <c r="I75" i="5"/>
  <c r="I62" i="5"/>
  <c r="I63" i="5"/>
  <c r="I13" i="5"/>
  <c r="I66" i="5"/>
  <c r="I70" i="5"/>
  <c r="I77" i="5"/>
  <c r="I54" i="5"/>
  <c r="I40" i="5"/>
  <c r="I46" i="5"/>
  <c r="I73" i="5"/>
  <c r="I33" i="5"/>
  <c r="I76" i="5"/>
  <c r="I94" i="5"/>
  <c r="I22" i="5"/>
  <c r="I27" i="5"/>
  <c r="I35" i="5"/>
  <c r="I47" i="5"/>
  <c r="I69" i="5"/>
  <c r="I85" i="5"/>
  <c r="I82" i="5"/>
  <c r="I74" i="5"/>
  <c r="I93" i="5"/>
  <c r="I88" i="5"/>
  <c r="I83" i="5"/>
  <c r="I79" i="5"/>
  <c r="I67" i="5"/>
  <c r="I60" i="5"/>
  <c r="I58" i="5"/>
  <c r="I55" i="5"/>
  <c r="I51" i="5"/>
  <c r="I49" i="5"/>
  <c r="I43" i="5"/>
  <c r="I41" i="5"/>
  <c r="I37" i="5"/>
  <c r="I31" i="5"/>
  <c r="I29" i="5"/>
  <c r="I25" i="5"/>
  <c r="I23" i="5"/>
  <c r="I19" i="5"/>
  <c r="I17" i="5"/>
  <c r="I15" i="5"/>
  <c r="I12" i="5"/>
  <c r="I8" i="5"/>
  <c r="I80" i="5"/>
  <c r="I91" i="5"/>
  <c r="I87" i="5"/>
  <c r="I81" i="5"/>
  <c r="I72" i="5"/>
  <c r="I68" i="5"/>
  <c r="I65" i="5"/>
  <c r="I59" i="5"/>
  <c r="I56" i="5"/>
  <c r="I53" i="5"/>
  <c r="I50" i="5"/>
  <c r="I48" i="5"/>
  <c r="I44" i="5"/>
  <c r="I42" i="5"/>
  <c r="I38" i="5"/>
  <c r="I32" i="5"/>
  <c r="I30" i="5"/>
  <c r="I28" i="5"/>
  <c r="I24" i="5"/>
  <c r="I20" i="5"/>
  <c r="I18" i="5"/>
  <c r="I16" i="5"/>
  <c r="I11" i="5"/>
  <c r="I9" i="5"/>
  <c r="I7" i="5"/>
  <c r="I5" i="5"/>
  <c r="I26" i="5"/>
  <c r="I57" i="5"/>
  <c r="I89" i="5"/>
  <c r="I61" i="5"/>
  <c r="I78" i="5"/>
  <c r="I34" i="5"/>
  <c r="I90" i="5"/>
  <c r="I92" i="5"/>
  <c r="I71" i="8"/>
  <c r="I6" i="8"/>
  <c r="I3" i="8"/>
  <c r="I78" i="8"/>
  <c r="I60" i="8"/>
  <c r="I45" i="8"/>
  <c r="I11" i="8"/>
  <c r="I76" i="8"/>
  <c r="I65" i="8"/>
  <c r="I55" i="8"/>
  <c r="I12" i="8"/>
  <c r="I93" i="8"/>
  <c r="I23" i="8"/>
  <c r="I22" i="8"/>
  <c r="I21" i="8"/>
  <c r="I20" i="8"/>
  <c r="I19" i="8"/>
  <c r="I18" i="8"/>
  <c r="I17" i="8"/>
  <c r="I16" i="8"/>
  <c r="I13" i="8"/>
  <c r="I15" i="8"/>
  <c r="I84" i="8"/>
  <c r="I70" i="8"/>
  <c r="I66" i="8"/>
  <c r="I61" i="8"/>
  <c r="I51" i="8"/>
  <c r="I47" i="8"/>
  <c r="I10" i="8"/>
  <c r="I4" i="8"/>
  <c r="I91" i="8"/>
  <c r="I82" i="8"/>
  <c r="I77" i="8"/>
  <c r="I75" i="8"/>
  <c r="I67" i="8"/>
  <c r="I62" i="8"/>
  <c r="I58" i="8"/>
  <c r="I56" i="8"/>
  <c r="I53" i="8"/>
  <c r="I50" i="8"/>
  <c r="I46" i="8"/>
  <c r="I5" i="8"/>
  <c r="I94" i="8"/>
  <c r="I81" i="8"/>
  <c r="I80" i="8"/>
  <c r="I73" i="8"/>
  <c r="I89" i="8"/>
  <c r="I7" i="8"/>
  <c r="I85" i="8"/>
  <c r="I74" i="8"/>
  <c r="I68" i="8"/>
  <c r="I63" i="8"/>
  <c r="I54" i="8"/>
  <c r="I49" i="8"/>
  <c r="I14" i="8"/>
  <c r="I8" i="8"/>
  <c r="I83" i="8"/>
  <c r="I79" i="8"/>
  <c r="I69" i="8"/>
  <c r="I64" i="8"/>
  <c r="I59" i="8"/>
  <c r="I57" i="8"/>
  <c r="I52" i="8"/>
  <c r="I48" i="8"/>
  <c r="I44" i="8"/>
  <c r="I9" i="8"/>
  <c r="I90" i="8"/>
  <c r="I86" i="8"/>
  <c r="I88" i="8"/>
  <c r="I87" i="8"/>
  <c r="I92" i="8"/>
  <c r="I95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72" i="8"/>
  <c r="I70" i="6"/>
  <c r="I17" i="6"/>
  <c r="I15" i="6"/>
  <c r="I13" i="6"/>
  <c r="I11" i="6"/>
  <c r="I5" i="6"/>
  <c r="I3" i="6"/>
  <c r="I89" i="6"/>
  <c r="I60" i="6"/>
  <c r="I38" i="6"/>
  <c r="I61" i="6"/>
  <c r="I46" i="6"/>
  <c r="I91" i="6"/>
  <c r="I54" i="6"/>
  <c r="I36" i="6"/>
  <c r="I28" i="6"/>
  <c r="I25" i="6"/>
  <c r="I22" i="6"/>
  <c r="I14" i="6"/>
  <c r="I6" i="6"/>
  <c r="I86" i="6"/>
  <c r="I71" i="6"/>
  <c r="I90" i="6"/>
  <c r="I81" i="6"/>
  <c r="I92" i="6"/>
  <c r="I73" i="6"/>
  <c r="I83" i="6"/>
  <c r="I75" i="6"/>
  <c r="I85" i="6"/>
  <c r="I51" i="6"/>
  <c r="I68" i="6"/>
  <c r="I37" i="6"/>
  <c r="I82" i="6"/>
  <c r="I62" i="6"/>
  <c r="I52" i="6"/>
  <c r="I32" i="6"/>
  <c r="I29" i="6"/>
  <c r="I24" i="6"/>
  <c r="I20" i="6"/>
  <c r="I10" i="6"/>
  <c r="I79" i="6"/>
  <c r="I94" i="6"/>
  <c r="I74" i="6"/>
  <c r="I88" i="6"/>
  <c r="I67" i="6"/>
  <c r="I38" i="3"/>
  <c r="I42" i="3"/>
  <c r="I17" i="3"/>
  <c r="I58" i="3"/>
  <c r="I46" i="3"/>
  <c r="I57" i="3"/>
  <c r="I74" i="3"/>
  <c r="I10" i="3"/>
  <c r="I60" i="3"/>
  <c r="I65" i="3"/>
  <c r="I81" i="3"/>
  <c r="I41" i="3"/>
  <c r="I3" i="3"/>
  <c r="I29" i="3"/>
  <c r="I37" i="3"/>
  <c r="I15" i="3"/>
  <c r="I14" i="3"/>
  <c r="I80" i="3"/>
  <c r="I86" i="3"/>
  <c r="I22" i="3"/>
  <c r="I68" i="3"/>
  <c r="I63" i="3"/>
  <c r="I94" i="3"/>
  <c r="I45" i="3"/>
  <c r="I64" i="3"/>
  <c r="I52" i="3"/>
  <c r="I67" i="3"/>
  <c r="I78" i="3"/>
  <c r="I61" i="3"/>
  <c r="I76" i="3"/>
  <c r="I47" i="3"/>
  <c r="I93" i="3"/>
  <c r="I5" i="3"/>
  <c r="I20" i="3"/>
  <c r="I35" i="3"/>
  <c r="I66" i="3"/>
  <c r="I54" i="3"/>
  <c r="I69" i="3"/>
  <c r="I21" i="3"/>
  <c r="I34" i="3"/>
  <c r="I19" i="3"/>
  <c r="I77" i="3"/>
  <c r="I13" i="3"/>
  <c r="I92" i="3"/>
  <c r="I12" i="3"/>
  <c r="I53" i="3"/>
  <c r="I30" i="3"/>
  <c r="I28" i="3"/>
  <c r="I36" i="3"/>
  <c r="I95" i="3"/>
  <c r="I48" i="3"/>
  <c r="I44" i="3"/>
  <c r="I70" i="3"/>
  <c r="I84" i="3"/>
  <c r="I18" i="3"/>
  <c r="I31" i="3"/>
  <c r="I16" i="3"/>
  <c r="I79" i="3"/>
  <c r="I32" i="3"/>
  <c r="I62" i="3"/>
  <c r="I6" i="3"/>
  <c r="I51" i="3"/>
  <c r="I91" i="3"/>
  <c r="I75" i="3"/>
  <c r="I59" i="3"/>
  <c r="I43" i="3"/>
  <c r="I85" i="3"/>
  <c r="I90" i="3"/>
  <c r="I25" i="3"/>
  <c r="I9" i="3"/>
  <c r="I50" i="3"/>
  <c r="I88" i="3"/>
  <c r="I72" i="3"/>
  <c r="I56" i="3"/>
  <c r="I40" i="3"/>
  <c r="I24" i="3"/>
  <c r="I8" i="3"/>
  <c r="I82" i="3"/>
  <c r="I87" i="3"/>
  <c r="I71" i="3"/>
  <c r="I55" i="3"/>
  <c r="I39" i="3"/>
  <c r="I23" i="3"/>
  <c r="I7" i="3"/>
  <c r="I49" i="3"/>
  <c r="I4" i="3"/>
  <c r="I33" i="3"/>
  <c r="I73" i="3"/>
  <c r="I11" i="3"/>
  <c r="I89" i="3"/>
  <c r="I27" i="3"/>
  <c r="I83" i="3"/>
  <c r="I26" i="3"/>
  <c r="I2" i="3"/>
  <c r="I39" i="6" l="1"/>
  <c r="I43" i="6"/>
  <c r="I56" i="6"/>
  <c r="I42" i="6"/>
  <c r="I80" i="6"/>
  <c r="I65" i="6"/>
  <c r="I49" i="6"/>
  <c r="I34" i="6"/>
  <c r="I31" i="6"/>
  <c r="I23" i="6"/>
  <c r="I18" i="6"/>
  <c r="I8" i="6"/>
  <c r="I72" i="6"/>
  <c r="I41" i="6"/>
  <c r="I63" i="6"/>
  <c r="I48" i="6"/>
  <c r="I40" i="6"/>
  <c r="I78" i="6"/>
  <c r="I57" i="6"/>
  <c r="I33" i="6"/>
  <c r="I27" i="6"/>
  <c r="I21" i="6"/>
  <c r="I12" i="6"/>
  <c r="I7" i="6"/>
  <c r="I59" i="6"/>
  <c r="I58" i="6"/>
  <c r="I64" i="6"/>
  <c r="I76" i="6"/>
  <c r="I93" i="6"/>
  <c r="I66" i="6"/>
  <c r="I50" i="6"/>
  <c r="I84" i="6"/>
  <c r="I77" i="6"/>
  <c r="I47" i="6"/>
  <c r="I35" i="6"/>
  <c r="I26" i="6"/>
  <c r="I19" i="6"/>
  <c r="I9" i="6"/>
  <c r="I44" i="6"/>
  <c r="I69" i="6"/>
  <c r="I53" i="6"/>
  <c r="I30" i="6"/>
  <c r="I2" i="6"/>
  <c r="I16" i="6"/>
  <c r="I4" i="6"/>
  <c r="I95" i="6"/>
  <c r="I55" i="6"/>
  <c r="I87" i="6"/>
  <c r="I45" i="6"/>
</calcChain>
</file>

<file path=xl/sharedStrings.xml><?xml version="1.0" encoding="utf-8"?>
<sst xmlns="http://schemas.openxmlformats.org/spreadsheetml/2006/main" count="2024" uniqueCount="198">
  <si>
    <t>CEO</t>
  </si>
  <si>
    <t>model</t>
  </si>
  <si>
    <t>bartender</t>
  </si>
  <si>
    <t>pilot</t>
  </si>
  <si>
    <t>auditor</t>
  </si>
  <si>
    <t>muslim</t>
  </si>
  <si>
    <t>barista</t>
  </si>
  <si>
    <t xml:space="preserve">CEO </t>
  </si>
  <si>
    <t>min</t>
  </si>
  <si>
    <t>max</t>
  </si>
  <si>
    <t xml:space="preserve"> </t>
    <phoneticPr fontId="3" type="noConversion"/>
  </si>
  <si>
    <r>
      <rPr>
        <sz val="11"/>
        <color theme="1"/>
        <rFont val="宋体"/>
        <family val="3"/>
        <charset val="134"/>
      </rPr>
      <t>按摩师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</si>
  <si>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保安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</si>
  <si>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裁缝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</si>
  <si>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采购员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</si>
  <si>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出纳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</si>
  <si>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厨师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</si>
  <si>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大使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</si>
  <si>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导游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</si>
  <si>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店员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</si>
  <si>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法官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</si>
  <si>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法医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</si>
  <si>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会计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</si>
  <si>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机长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</si>
  <si>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记者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</si>
  <si>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建筑师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</si>
  <si>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教练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</si>
  <si>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教师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</si>
  <si>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经纪人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</si>
  <si>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警察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</si>
  <si>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军人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</si>
  <si>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科学家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</si>
  <si>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理发师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</si>
  <si>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律师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</si>
  <si>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漫画家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</si>
  <si>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模特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</si>
  <si>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魔术师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</si>
  <si>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清洁工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</si>
  <si>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赛车手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</si>
  <si>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杀手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</si>
  <si>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商人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</si>
  <si>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设计师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</si>
  <si>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兽医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</si>
  <si>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司机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</si>
  <si>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特警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</si>
  <si>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调酒师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</si>
  <si>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推销员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</si>
  <si>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外交官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</si>
  <si>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舞者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</si>
  <si>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消防员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</si>
  <si>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翻译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</si>
  <si>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飞行员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</si>
  <si>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服务员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</si>
  <si>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歌手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</si>
  <si>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工程师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</si>
  <si>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工人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</si>
  <si>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</si>
  <si>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护士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</si>
  <si>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花匠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</si>
  <si>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化妆师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</si>
  <si>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画家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</si>
  <si>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售货员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</si>
  <si>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演员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</si>
  <si>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医生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</si>
  <si>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艺术家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</si>
  <si>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音乐家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</si>
  <si>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邮递员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</si>
  <si>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运动员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</si>
  <si>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主持人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</si>
  <si>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作家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</si>
  <si>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审计员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</si>
  <si>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救生员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</si>
  <si>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机械师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</si>
  <si>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糕点师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</si>
  <si>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甜品师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</si>
  <si>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钢琴家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</si>
  <si>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大学生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</si>
  <si>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穆斯林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</si>
  <si>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历史学家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</si>
  <si>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交通工具乘务员，包括飞机、轮船、汽车、火车的乘务员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</si>
  <si>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顾问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</si>
  <si>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健美运动员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</si>
  <si>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列车长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</si>
  <si>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包括跑腿、外卖等用摩托车送东西的人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</si>
  <si>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药剂师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</si>
  <si>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护工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</si>
  <si>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助产士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</si>
  <si>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图书管理员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</si>
  <si>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导演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</si>
  <si>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电话销售员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</si>
  <si>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咖啡师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</si>
  <si>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公证员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</si>
  <si>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物理治疗师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</si>
  <si>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秘书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</si>
  <si>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作曲家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</si>
  <si>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检察官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</si>
  <si>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营养师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</si>
  <si>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渔民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</si>
  <si>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盐农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</si>
  <si>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健康顾问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</si>
  <si>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精算师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</si>
  <si>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雕刻家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</si>
  <si>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裁判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</si>
  <si>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营销专家</t>
    </r>
    <r>
      <rPr>
        <sz val="11"/>
        <color theme="1"/>
        <rFont val="Times New Roman"/>
        <family val="1"/>
      </rPr>
      <t xml:space="preserve"> </t>
    </r>
  </si>
  <si>
    <t>security guard</t>
  </si>
  <si>
    <t>tailor</t>
  </si>
  <si>
    <t>buyer</t>
  </si>
  <si>
    <t>cashier</t>
  </si>
  <si>
    <t>chef</t>
  </si>
  <si>
    <t>ambassador</t>
  </si>
  <si>
    <t>tourist guide</t>
  </si>
  <si>
    <t>forensic</t>
  </si>
  <si>
    <t>cccounting</t>
  </si>
  <si>
    <t>captain</t>
  </si>
  <si>
    <t>reporter</t>
  </si>
  <si>
    <t>architect</t>
  </si>
  <si>
    <t>coach</t>
  </si>
  <si>
    <t>teacher</t>
  </si>
  <si>
    <t>broker</t>
  </si>
  <si>
    <t>police</t>
  </si>
  <si>
    <t>soldier</t>
  </si>
  <si>
    <t>scientist</t>
  </si>
  <si>
    <t>barber</t>
  </si>
  <si>
    <t>lawyer</t>
  </si>
  <si>
    <t>cartoonist</t>
  </si>
  <si>
    <t>magician</t>
  </si>
  <si>
    <t>cleaner</t>
  </si>
  <si>
    <t>killer</t>
  </si>
  <si>
    <t>merchant</t>
  </si>
  <si>
    <t>designer</t>
  </si>
  <si>
    <t>veterinary</t>
  </si>
  <si>
    <t>driver</t>
  </si>
  <si>
    <t>special police</t>
  </si>
  <si>
    <t>salesman</t>
  </si>
  <si>
    <t>diplomat</t>
  </si>
  <si>
    <t>dancer</t>
  </si>
  <si>
    <t>waiter</t>
  </si>
  <si>
    <t>singer</t>
  </si>
  <si>
    <t>worker</t>
  </si>
  <si>
    <t>administrator</t>
  </si>
  <si>
    <t>nurse</t>
  </si>
  <si>
    <t>gardener</t>
  </si>
  <si>
    <t>makeup artist</t>
  </si>
  <si>
    <t>painter</t>
  </si>
  <si>
    <t>salesperson</t>
  </si>
  <si>
    <t>actor</t>
  </si>
  <si>
    <t>doctor</t>
  </si>
  <si>
    <t>artist</t>
  </si>
  <si>
    <t>musician</t>
  </si>
  <si>
    <t>postman</t>
  </si>
  <si>
    <t>athlete</t>
  </si>
  <si>
    <t>host</t>
  </si>
  <si>
    <t>writer</t>
  </si>
  <si>
    <t>lifeguard</t>
  </si>
  <si>
    <t>mechanic</t>
  </si>
  <si>
    <t>pianist</t>
  </si>
  <si>
    <t>historian</t>
  </si>
  <si>
    <t>transport crew</t>
  </si>
  <si>
    <t>consultant</t>
  </si>
  <si>
    <t>bodybuilder</t>
  </si>
  <si>
    <t>conductor</t>
  </si>
  <si>
    <t>pharmacist</t>
  </si>
  <si>
    <t>care worker</t>
  </si>
  <si>
    <t>librarian</t>
  </si>
  <si>
    <t>director</t>
  </si>
  <si>
    <t>telemarketer</t>
  </si>
  <si>
    <t>notary</t>
  </si>
  <si>
    <t>physiotherapist</t>
  </si>
  <si>
    <t>secretary</t>
  </si>
  <si>
    <t>composer</t>
  </si>
  <si>
    <t>prosecutor</t>
  </si>
  <si>
    <t>nutritionist</t>
  </si>
  <si>
    <t>salt farmers</t>
  </si>
  <si>
    <t>health consultant</t>
  </si>
  <si>
    <t>actuary</t>
  </si>
  <si>
    <t>sculptor</t>
  </si>
  <si>
    <t>marketing expert</t>
  </si>
  <si>
    <t>masseur</t>
  </si>
  <si>
    <t>clerk</t>
  </si>
  <si>
    <t>judge</t>
  </si>
  <si>
    <t>racer</t>
  </si>
  <si>
    <t>firemen</t>
  </si>
  <si>
    <t>translator</t>
  </si>
  <si>
    <t>engineer</t>
  </si>
  <si>
    <t>confectioner</t>
  </si>
  <si>
    <t>college student</t>
  </si>
  <si>
    <t>deliveryman</t>
  </si>
  <si>
    <t>midwife</t>
  </si>
  <si>
    <t>fisher</t>
  </si>
  <si>
    <t>referee</t>
  </si>
  <si>
    <t>Distance</t>
    <phoneticPr fontId="5" type="noConversion"/>
  </si>
  <si>
    <t>Distance Normalization</t>
    <phoneticPr fontId="5" type="noConversion"/>
  </si>
  <si>
    <t>Similarity</t>
    <phoneticPr fontId="5" type="noConversion"/>
  </si>
  <si>
    <t>Similarity Normalization</t>
    <phoneticPr fontId="5" type="noConversion"/>
  </si>
  <si>
    <t>Similarity Positization</t>
    <phoneticPr fontId="5" type="noConversion"/>
  </si>
  <si>
    <t>Bias (Mean of Both)</t>
    <phoneticPr fontId="5" type="noConversion"/>
  </si>
  <si>
    <t>Bias Normalization</t>
    <phoneticPr fontId="5" type="noConversion"/>
  </si>
  <si>
    <t>Frequency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</si>
</sst>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_);[Red]\(0.0000\)"/>
  </numFmts>
  <fonts count="9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Times New Roman"/>
      <family val="1"/>
    </font>
    <font>
      <sz val="11"/>
      <color theme="1"/>
      <name val="Times New Roman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1"/>
  <sheetViews>
    <sheetView workbookViewId="0">
      <selection sqref="A1:XFD1"/>
    </sheetView>
  </sheetViews>
  <sheetFormatPr defaultColWidth="8.77734375" defaultRowHeight="13.8" x14ac:dyDescent="0.25"/>
  <cols>
    <col min="1" max="1" width="36.5546875" style="4" customWidth="1"/>
    <col min="2" max="2" width="8.77734375" style="6"/>
    <col min="3" max="3" width="8.77734375" style="4"/>
    <col min="4" max="4" width="13.88671875" style="6" customWidth="1"/>
    <col min="5" max="5" width="12.44140625" style="6"/>
    <col min="6" max="6" width="14.5546875" style="6" customWidth="1"/>
    <col min="7" max="7" width="13.88671875" style="6" customWidth="1"/>
    <col min="8" max="8" width="16.44140625" style="6" customWidth="1"/>
    <col min="9" max="9" width="14.88671875" style="6" customWidth="1"/>
    <col min="10" max="10" width="12.44140625" style="6"/>
  </cols>
  <sheetData>
    <row r="1" spans="1:17" s="4" customFormat="1" x14ac:dyDescent="0.25">
      <c r="C1" s="10" t="s">
        <v>190</v>
      </c>
      <c r="D1" s="10" t="s">
        <v>191</v>
      </c>
      <c r="E1" s="10" t="s">
        <v>192</v>
      </c>
      <c r="F1" s="10" t="s">
        <v>193</v>
      </c>
      <c r="G1" s="10" t="s">
        <v>194</v>
      </c>
      <c r="H1" s="4" t="s">
        <v>195</v>
      </c>
      <c r="I1" s="4" t="s">
        <v>196</v>
      </c>
      <c r="J1" s="10" t="s">
        <v>197</v>
      </c>
    </row>
    <row r="2" spans="1:17" x14ac:dyDescent="0.25">
      <c r="A2" s="8" t="s">
        <v>0</v>
      </c>
      <c r="B2" s="4" t="s">
        <v>7</v>
      </c>
      <c r="C2" s="4">
        <v>0.55841023325609096</v>
      </c>
      <c r="D2" s="3">
        <f>(C2-$C$99)/($C$101-$C$99)</f>
        <v>0.9924431286664096</v>
      </c>
      <c r="E2" s="3">
        <v>0.19047619047618999</v>
      </c>
      <c r="F2" s="3">
        <f>(E2-$E$99)/($E$101-$E$99)</f>
        <v>0.33132010353753188</v>
      </c>
      <c r="G2" s="3">
        <f>1-F2</f>
        <v>0.66867989646246806</v>
      </c>
      <c r="H2" s="3">
        <f>(E2+G2)/2</f>
        <v>0.42957804346932904</v>
      </c>
      <c r="I2" s="3">
        <f>(H2-$H$99)/($H$101-$H$99)</f>
        <v>0.66867989646246806</v>
      </c>
      <c r="J2" s="3">
        <v>0.8</v>
      </c>
    </row>
    <row r="3" spans="1:17" ht="14.4" x14ac:dyDescent="0.25">
      <c r="A3" s="8" t="s">
        <v>177</v>
      </c>
      <c r="B3" s="4" t="s">
        <v>11</v>
      </c>
      <c r="C3" s="4">
        <v>0.41325194039584501</v>
      </c>
      <c r="D3" s="3">
        <f t="shared" ref="D3:D66" si="0">(C3-$C$99)/($C$101-$C$99)</f>
        <v>0.67712744547067227</v>
      </c>
      <c r="E3" s="3">
        <v>0.26627930274493999</v>
      </c>
      <c r="F3" s="3">
        <f t="shared" ref="F3:F66" si="1">(E3-$E$99)/($E$101-$E$99)</f>
        <v>0.46317435231561654</v>
      </c>
      <c r="G3" s="3">
        <f t="shared" ref="G3:G66" si="2">1-F3</f>
        <v>0.53682564768438346</v>
      </c>
      <c r="H3" s="3">
        <f t="shared" ref="H3:H66" si="3">(E3+G3)/2</f>
        <v>0.40155247521466175</v>
      </c>
      <c r="I3" s="3">
        <f t="shared" ref="I3:I66" si="4">(H3-$H$99)/($H$101-$H$99)</f>
        <v>0.53682564768438357</v>
      </c>
      <c r="J3" s="3">
        <v>0.66666666666666596</v>
      </c>
    </row>
    <row r="4" spans="1:17" ht="14.4" x14ac:dyDescent="0.25">
      <c r="A4" s="8" t="s">
        <v>104</v>
      </c>
      <c r="B4" s="4" t="s">
        <v>12</v>
      </c>
      <c r="C4" s="4">
        <v>0.41289755232112901</v>
      </c>
      <c r="D4" s="3">
        <f t="shared" si="0"/>
        <v>0.67635763676258087</v>
      </c>
      <c r="E4" s="3">
        <v>0.28705462789109598</v>
      </c>
      <c r="F4" s="3">
        <f t="shared" si="1"/>
        <v>0.49931158742748066</v>
      </c>
      <c r="G4" s="3">
        <f t="shared" si="2"/>
        <v>0.50068841257251928</v>
      </c>
      <c r="H4" s="3">
        <f t="shared" si="3"/>
        <v>0.3938715202318076</v>
      </c>
      <c r="I4" s="3">
        <f t="shared" si="4"/>
        <v>0.50068841257251906</v>
      </c>
      <c r="J4" s="3">
        <v>0.66666666666666596</v>
      </c>
    </row>
    <row r="5" spans="1:17" ht="14.4" x14ac:dyDescent="0.25">
      <c r="A5" s="8" t="s">
        <v>105</v>
      </c>
      <c r="B5" s="4" t="s">
        <v>13</v>
      </c>
      <c r="C5" s="4">
        <v>0.38992014549072102</v>
      </c>
      <c r="D5" s="3">
        <f t="shared" si="0"/>
        <v>0.6264456641839844</v>
      </c>
      <c r="E5" s="3">
        <v>0.195830656100521</v>
      </c>
      <c r="F5" s="3">
        <f t="shared" si="1"/>
        <v>0.34063382458899977</v>
      </c>
      <c r="G5" s="3">
        <f t="shared" si="2"/>
        <v>0.65936617541100029</v>
      </c>
      <c r="H5" s="3">
        <f t="shared" si="3"/>
        <v>0.42759841575576063</v>
      </c>
      <c r="I5" s="3">
        <f t="shared" si="4"/>
        <v>0.65936617541100029</v>
      </c>
      <c r="J5" s="3">
        <v>0.66666666666666596</v>
      </c>
    </row>
    <row r="6" spans="1:17" ht="14.4" x14ac:dyDescent="0.25">
      <c r="A6" s="8" t="s">
        <v>106</v>
      </c>
      <c r="B6" s="4" t="s">
        <v>14</v>
      </c>
      <c r="C6" s="4">
        <v>0.40645725728191001</v>
      </c>
      <c r="D6" s="3">
        <f t="shared" si="0"/>
        <v>0.6623679018996298</v>
      </c>
      <c r="E6" s="3">
        <v>0.23868691517103799</v>
      </c>
      <c r="F6" s="3">
        <f t="shared" si="1"/>
        <v>0.41517931059949359</v>
      </c>
      <c r="G6" s="3">
        <f t="shared" si="2"/>
        <v>0.58482068940050635</v>
      </c>
      <c r="H6" s="3">
        <f t="shared" si="3"/>
        <v>0.41175380228577219</v>
      </c>
      <c r="I6" s="3">
        <f t="shared" si="4"/>
        <v>0.58482068940050635</v>
      </c>
      <c r="J6" s="3">
        <v>0.66666666666666596</v>
      </c>
    </row>
    <row r="7" spans="1:17" ht="14.4" x14ac:dyDescent="0.25">
      <c r="A7" s="8" t="s">
        <v>107</v>
      </c>
      <c r="B7" s="4" t="s">
        <v>15</v>
      </c>
      <c r="C7" s="4">
        <v>0.46068625600823399</v>
      </c>
      <c r="D7" s="3">
        <f t="shared" si="0"/>
        <v>0.78016519370764414</v>
      </c>
      <c r="E7" s="3">
        <v>0.32129774986917797</v>
      </c>
      <c r="F7" s="3">
        <f t="shared" si="1"/>
        <v>0.55887511970341974</v>
      </c>
      <c r="G7" s="3">
        <f t="shared" si="2"/>
        <v>0.44112488029658026</v>
      </c>
      <c r="H7" s="3">
        <f t="shared" si="3"/>
        <v>0.38121131508287909</v>
      </c>
      <c r="I7" s="3">
        <f t="shared" si="4"/>
        <v>0.44112488029658009</v>
      </c>
      <c r="J7" s="3">
        <v>0.66666666666666596</v>
      </c>
    </row>
    <row r="8" spans="1:17" ht="14.4" x14ac:dyDescent="0.25">
      <c r="A8" s="8" t="s">
        <v>108</v>
      </c>
      <c r="B8" s="4" t="s">
        <v>16</v>
      </c>
      <c r="C8" s="4">
        <v>0.44272914529215501</v>
      </c>
      <c r="D8" s="3">
        <f t="shared" si="0"/>
        <v>0.74115840655072096</v>
      </c>
      <c r="E8" s="3">
        <v>0.25742732228110299</v>
      </c>
      <c r="F8" s="3">
        <f t="shared" si="1"/>
        <v>0.44777694712571542</v>
      </c>
      <c r="G8" s="3">
        <f t="shared" si="2"/>
        <v>0.55222305287428464</v>
      </c>
      <c r="H8" s="3">
        <f t="shared" si="3"/>
        <v>0.40482518757769381</v>
      </c>
      <c r="I8" s="3">
        <f t="shared" si="4"/>
        <v>0.55222305287428475</v>
      </c>
      <c r="J8" s="3">
        <v>0.8</v>
      </c>
    </row>
    <row r="9" spans="1:17" ht="14.4" x14ac:dyDescent="0.25">
      <c r="A9" s="8" t="s">
        <v>109</v>
      </c>
      <c r="B9" s="4" t="s">
        <v>17</v>
      </c>
      <c r="C9" s="4">
        <v>0.37384183235813601</v>
      </c>
      <c r="D9" s="3">
        <f t="shared" si="0"/>
        <v>0.59152003788912955</v>
      </c>
      <c r="E9" s="3">
        <v>0.20837124658780701</v>
      </c>
      <c r="F9" s="3">
        <f t="shared" si="1"/>
        <v>0.36244731071701414</v>
      </c>
      <c r="G9" s="3">
        <f t="shared" si="2"/>
        <v>0.63755268928298592</v>
      </c>
      <c r="H9" s="3">
        <f t="shared" si="3"/>
        <v>0.42296196793539648</v>
      </c>
      <c r="I9" s="3">
        <f t="shared" si="4"/>
        <v>0.63755268928298603</v>
      </c>
      <c r="J9" s="3">
        <v>0.8</v>
      </c>
    </row>
    <row r="10" spans="1:17" ht="14.4" x14ac:dyDescent="0.25">
      <c r="A10" s="8" t="s">
        <v>110</v>
      </c>
      <c r="B10" s="4" t="s">
        <v>18</v>
      </c>
      <c r="C10" s="4">
        <v>0.26801198131754</v>
      </c>
      <c r="D10" s="3">
        <f t="shared" si="0"/>
        <v>0.36163436531859233</v>
      </c>
      <c r="E10" s="3">
        <v>0.459931798806479</v>
      </c>
      <c r="F10" s="3">
        <f t="shared" si="1"/>
        <v>0.80001941880402294</v>
      </c>
      <c r="G10" s="3">
        <f t="shared" si="2"/>
        <v>0.19998058119597706</v>
      </c>
      <c r="H10" s="3">
        <f t="shared" si="3"/>
        <v>0.329956190001228</v>
      </c>
      <c r="I10" s="3">
        <f t="shared" si="4"/>
        <v>0.19998058119597698</v>
      </c>
      <c r="J10" s="3">
        <v>0.66666666666666596</v>
      </c>
      <c r="Q10" s="2" t="s">
        <v>10</v>
      </c>
    </row>
    <row r="11" spans="1:17" ht="14.4" x14ac:dyDescent="0.25">
      <c r="A11" s="8" t="s">
        <v>178</v>
      </c>
      <c r="B11" s="4" t="s">
        <v>19</v>
      </c>
      <c r="C11" s="4">
        <v>0.515715537568745</v>
      </c>
      <c r="D11" s="3">
        <f t="shared" si="0"/>
        <v>0.89970087554243072</v>
      </c>
      <c r="E11" s="3">
        <v>0.18695407156945601</v>
      </c>
      <c r="F11" s="3">
        <f t="shared" si="1"/>
        <v>0.3251936223330662</v>
      </c>
      <c r="G11" s="3">
        <f t="shared" si="2"/>
        <v>0.67480637766693374</v>
      </c>
      <c r="H11" s="3">
        <f t="shared" si="3"/>
        <v>0.43088022461819486</v>
      </c>
      <c r="I11" s="3">
        <f t="shared" si="4"/>
        <v>0.67480637766693363</v>
      </c>
      <c r="J11" s="3">
        <v>0.90909090909090895</v>
      </c>
    </row>
    <row r="12" spans="1:17" ht="14.4" x14ac:dyDescent="0.25">
      <c r="A12" s="8" t="s">
        <v>179</v>
      </c>
      <c r="B12" s="4" t="s">
        <v>20</v>
      </c>
      <c r="C12" s="4">
        <v>0.46115259455608998</v>
      </c>
      <c r="D12" s="3">
        <f t="shared" si="0"/>
        <v>0.78117818342335621</v>
      </c>
      <c r="E12" s="3">
        <v>0.30294542059247898</v>
      </c>
      <c r="F12" s="3">
        <f t="shared" si="1"/>
        <v>0.52695251761383799</v>
      </c>
      <c r="G12" s="3">
        <f t="shared" si="2"/>
        <v>0.47304748238616201</v>
      </c>
      <c r="H12" s="3">
        <f t="shared" si="3"/>
        <v>0.38799645148932049</v>
      </c>
      <c r="I12" s="3">
        <f t="shared" si="4"/>
        <v>0.47304748238616201</v>
      </c>
      <c r="J12" s="3">
        <v>0.95454545454545403</v>
      </c>
    </row>
    <row r="13" spans="1:17" ht="14.4" x14ac:dyDescent="0.25">
      <c r="A13" s="8" t="s">
        <v>111</v>
      </c>
      <c r="B13" s="4" t="s">
        <v>21</v>
      </c>
      <c r="C13" s="4">
        <v>0.28460651134803699</v>
      </c>
      <c r="D13" s="3">
        <f t="shared" si="0"/>
        <v>0.39768132805682216</v>
      </c>
      <c r="E13" s="3">
        <v>0.28618693134822099</v>
      </c>
      <c r="F13" s="3">
        <f t="shared" si="1"/>
        <v>0.49780228955825201</v>
      </c>
      <c r="G13" s="3">
        <f t="shared" si="2"/>
        <v>0.50219771044174799</v>
      </c>
      <c r="H13" s="3">
        <f t="shared" si="3"/>
        <v>0.39419232089498446</v>
      </c>
      <c r="I13" s="3">
        <f t="shared" si="4"/>
        <v>0.50219771044174788</v>
      </c>
      <c r="J13" s="3">
        <v>0.66666666666666596</v>
      </c>
    </row>
    <row r="14" spans="1:17" ht="14.4" x14ac:dyDescent="0.25">
      <c r="A14" s="8" t="s">
        <v>112</v>
      </c>
      <c r="B14" s="4" t="s">
        <v>22</v>
      </c>
      <c r="C14" s="4">
        <v>0.41356511208888602</v>
      </c>
      <c r="D14" s="3">
        <f t="shared" si="0"/>
        <v>0.67780772314825466</v>
      </c>
      <c r="E14" s="3">
        <v>0.18820957619349801</v>
      </c>
      <c r="F14" s="3">
        <f t="shared" si="1"/>
        <v>0.3273774854237208</v>
      </c>
      <c r="G14" s="3">
        <f t="shared" si="2"/>
        <v>0.6726225145762792</v>
      </c>
      <c r="H14" s="3">
        <f t="shared" si="3"/>
        <v>0.43041604538488859</v>
      </c>
      <c r="I14" s="3">
        <f t="shared" si="4"/>
        <v>0.67262251457627908</v>
      </c>
      <c r="J14" s="3">
        <v>0.66666666666666596</v>
      </c>
    </row>
    <row r="15" spans="1:17" ht="14.4" x14ac:dyDescent="0.25">
      <c r="A15" s="8" t="s">
        <v>113</v>
      </c>
      <c r="B15" s="4" t="s">
        <v>23</v>
      </c>
      <c r="C15" s="4">
        <v>0.43930715848310897</v>
      </c>
      <c r="D15" s="3">
        <f t="shared" si="0"/>
        <v>0.73372509986654832</v>
      </c>
      <c r="E15" s="3">
        <v>0.234991423670668</v>
      </c>
      <c r="F15" s="3">
        <f t="shared" si="1"/>
        <v>0.40875125981023913</v>
      </c>
      <c r="G15" s="3">
        <f t="shared" si="2"/>
        <v>0.59124874018976081</v>
      </c>
      <c r="H15" s="3">
        <f t="shared" si="3"/>
        <v>0.41312008193021443</v>
      </c>
      <c r="I15" s="3">
        <f t="shared" si="4"/>
        <v>0.59124874018976092</v>
      </c>
      <c r="J15" s="3">
        <v>0.66666666666666596</v>
      </c>
    </row>
    <row r="16" spans="1:17" ht="14.4" x14ac:dyDescent="0.25">
      <c r="A16" s="8" t="s">
        <v>114</v>
      </c>
      <c r="B16" s="4" t="s">
        <v>24</v>
      </c>
      <c r="C16" s="4">
        <v>0.390534256644468</v>
      </c>
      <c r="D16" s="3">
        <f t="shared" si="0"/>
        <v>0.62777964844479595</v>
      </c>
      <c r="E16" s="3">
        <v>0.19341996525778599</v>
      </c>
      <c r="F16" s="3">
        <f t="shared" si="1"/>
        <v>0.33644059530603704</v>
      </c>
      <c r="G16" s="3">
        <f t="shared" si="2"/>
        <v>0.66355940469396302</v>
      </c>
      <c r="H16" s="3">
        <f t="shared" si="3"/>
        <v>0.42848968497587447</v>
      </c>
      <c r="I16" s="3">
        <f t="shared" si="4"/>
        <v>0.66355940469396302</v>
      </c>
      <c r="J16" s="3">
        <v>0.96875</v>
      </c>
    </row>
    <row r="17" spans="1:10" ht="14.4" x14ac:dyDescent="0.25">
      <c r="A17" s="8" t="s">
        <v>115</v>
      </c>
      <c r="B17" s="4" t="s">
        <v>25</v>
      </c>
      <c r="C17" s="4">
        <v>0.40669801420042101</v>
      </c>
      <c r="D17" s="3">
        <f t="shared" si="0"/>
        <v>0.66289087878747111</v>
      </c>
      <c r="E17" s="3">
        <v>0.22416891284815799</v>
      </c>
      <c r="F17" s="3">
        <f t="shared" si="1"/>
        <v>0.38992625392742619</v>
      </c>
      <c r="G17" s="3">
        <f t="shared" si="2"/>
        <v>0.61007374607257381</v>
      </c>
      <c r="H17" s="3">
        <f t="shared" si="3"/>
        <v>0.4171213294603659</v>
      </c>
      <c r="I17" s="3">
        <f t="shared" si="4"/>
        <v>0.61007374607257381</v>
      </c>
      <c r="J17" s="3">
        <v>0.66666666666666596</v>
      </c>
    </row>
    <row r="18" spans="1:10" ht="14.4" x14ac:dyDescent="0.25">
      <c r="A18" s="8" t="s">
        <v>116</v>
      </c>
      <c r="B18" s="4" t="s">
        <v>26</v>
      </c>
      <c r="C18" s="4">
        <v>0.40704856491781399</v>
      </c>
      <c r="D18" s="3">
        <f t="shared" si="0"/>
        <v>0.66365235191292282</v>
      </c>
      <c r="E18" s="3">
        <v>0.23574507036881601</v>
      </c>
      <c r="F18" s="3">
        <f t="shared" si="1"/>
        <v>0.41006217589606003</v>
      </c>
      <c r="G18" s="3">
        <f t="shared" si="2"/>
        <v>0.58993782410393991</v>
      </c>
      <c r="H18" s="3">
        <f t="shared" si="3"/>
        <v>0.41284144723637795</v>
      </c>
      <c r="I18" s="3">
        <f t="shared" si="4"/>
        <v>0.5899378241039398</v>
      </c>
      <c r="J18" s="3">
        <v>0.83333333333333304</v>
      </c>
    </row>
    <row r="19" spans="1:10" ht="14.4" x14ac:dyDescent="0.25">
      <c r="A19" s="8" t="s">
        <v>117</v>
      </c>
      <c r="B19" s="4" t="s">
        <v>27</v>
      </c>
      <c r="C19" s="4">
        <v>0.49693593486168902</v>
      </c>
      <c r="D19" s="3">
        <f t="shared" si="0"/>
        <v>0.85890745519392264</v>
      </c>
      <c r="E19" s="3">
        <v>0.27661186780789898</v>
      </c>
      <c r="F19" s="3">
        <f t="shared" si="1"/>
        <v>0.48114713157957284</v>
      </c>
      <c r="G19" s="3">
        <f t="shared" si="2"/>
        <v>0.51885286842042722</v>
      </c>
      <c r="H19" s="3">
        <f t="shared" si="3"/>
        <v>0.39773236811416313</v>
      </c>
      <c r="I19" s="3">
        <f t="shared" si="4"/>
        <v>0.51885286842042744</v>
      </c>
      <c r="J19" s="3">
        <v>0.66666666666666596</v>
      </c>
    </row>
    <row r="20" spans="1:10" ht="14.4" x14ac:dyDescent="0.25">
      <c r="A20" s="8" t="s">
        <v>118</v>
      </c>
      <c r="B20" s="4" t="s">
        <v>28</v>
      </c>
      <c r="C20" s="4">
        <v>0.40669474515221998</v>
      </c>
      <c r="D20" s="3">
        <f t="shared" si="0"/>
        <v>0.66288377769702289</v>
      </c>
      <c r="E20" s="3">
        <v>0.27901274926446501</v>
      </c>
      <c r="F20" s="3">
        <f t="shared" si="1"/>
        <v>0.48532329811661956</v>
      </c>
      <c r="G20" s="3">
        <f t="shared" si="2"/>
        <v>0.51467670188338044</v>
      </c>
      <c r="H20" s="3">
        <f t="shared" si="3"/>
        <v>0.3968447255739227</v>
      </c>
      <c r="I20" s="3">
        <f t="shared" si="4"/>
        <v>0.51467670188338033</v>
      </c>
      <c r="J20" s="3">
        <v>0.66666666666666596</v>
      </c>
    </row>
    <row r="21" spans="1:10" ht="14.4" x14ac:dyDescent="0.25">
      <c r="A21" s="8" t="s">
        <v>119</v>
      </c>
      <c r="B21" s="4" t="s">
        <v>29</v>
      </c>
      <c r="C21" s="4">
        <v>0.424511254999559</v>
      </c>
      <c r="D21" s="3">
        <f t="shared" si="0"/>
        <v>0.7015851488965722</v>
      </c>
      <c r="E21" s="3">
        <v>0.31944444444444398</v>
      </c>
      <c r="F21" s="3">
        <f t="shared" si="1"/>
        <v>0.55565142364106967</v>
      </c>
      <c r="G21" s="3">
        <f t="shared" si="2"/>
        <v>0.44434857635893033</v>
      </c>
      <c r="H21" s="3">
        <f t="shared" si="3"/>
        <v>0.38189651040168715</v>
      </c>
      <c r="I21" s="3">
        <f t="shared" si="4"/>
        <v>0.44434857635893027</v>
      </c>
      <c r="J21" s="3">
        <v>0.91758241758241699</v>
      </c>
    </row>
    <row r="22" spans="1:10" ht="14.4" x14ac:dyDescent="0.25">
      <c r="A22" s="8" t="s">
        <v>120</v>
      </c>
      <c r="B22" s="4" t="s">
        <v>30</v>
      </c>
      <c r="C22" s="4">
        <v>0.41055902108988401</v>
      </c>
      <c r="D22" s="3">
        <f t="shared" si="0"/>
        <v>0.67127783347800729</v>
      </c>
      <c r="E22" s="3">
        <v>0.30148635493506198</v>
      </c>
      <c r="F22" s="3">
        <f t="shared" si="1"/>
        <v>0.52441457424424986</v>
      </c>
      <c r="G22" s="3">
        <f t="shared" si="2"/>
        <v>0.47558542575575014</v>
      </c>
      <c r="H22" s="3">
        <f t="shared" si="3"/>
        <v>0.38853589034540603</v>
      </c>
      <c r="I22" s="3">
        <f t="shared" si="4"/>
        <v>0.47558542575575002</v>
      </c>
      <c r="J22" s="3">
        <v>0.92682926829268297</v>
      </c>
    </row>
    <row r="23" spans="1:10" ht="14.4" x14ac:dyDescent="0.25">
      <c r="A23" s="8" t="s">
        <v>121</v>
      </c>
      <c r="B23" s="4" t="s">
        <v>31</v>
      </c>
      <c r="C23" s="4">
        <v>0.40760399522162499</v>
      </c>
      <c r="D23" s="3">
        <f t="shared" si="0"/>
        <v>0.66485886848364595</v>
      </c>
      <c r="E23" s="3">
        <v>0.28210396548181599</v>
      </c>
      <c r="F23" s="3">
        <f t="shared" si="1"/>
        <v>0.49070025402186507</v>
      </c>
      <c r="G23" s="3">
        <f t="shared" si="2"/>
        <v>0.50929974597813499</v>
      </c>
      <c r="H23" s="3">
        <f t="shared" si="3"/>
        <v>0.39570185572997552</v>
      </c>
      <c r="I23" s="3">
        <f t="shared" si="4"/>
        <v>0.50929974597813521</v>
      </c>
      <c r="J23" s="3">
        <v>0.85714285714285698</v>
      </c>
    </row>
    <row r="24" spans="1:10" ht="14.4" x14ac:dyDescent="0.25">
      <c r="A24" s="8" t="s">
        <v>122</v>
      </c>
      <c r="B24" s="4" t="s">
        <v>32</v>
      </c>
      <c r="C24" s="4">
        <v>0.32942542150510801</v>
      </c>
      <c r="D24" s="3">
        <f t="shared" si="0"/>
        <v>0.49503784140374602</v>
      </c>
      <c r="E24" s="3">
        <v>0.31630222991989598</v>
      </c>
      <c r="F24" s="3">
        <f t="shared" si="1"/>
        <v>0.55018575972261519</v>
      </c>
      <c r="G24" s="3">
        <f t="shared" si="2"/>
        <v>0.44981424027738481</v>
      </c>
      <c r="H24" s="3">
        <f t="shared" si="3"/>
        <v>0.3830582350986404</v>
      </c>
      <c r="I24" s="3">
        <f t="shared" si="4"/>
        <v>0.44981424027738476</v>
      </c>
      <c r="J24" s="3">
        <v>0.66666666666666596</v>
      </c>
    </row>
    <row r="25" spans="1:10" ht="14.4" x14ac:dyDescent="0.25">
      <c r="A25" s="8" t="s">
        <v>123</v>
      </c>
      <c r="B25" s="4" t="s">
        <v>33</v>
      </c>
      <c r="C25" s="4">
        <v>0.39365446401755999</v>
      </c>
      <c r="D25" s="3">
        <f t="shared" si="0"/>
        <v>0.63455742393507464</v>
      </c>
      <c r="E25" s="3">
        <v>0.21662622877728699</v>
      </c>
      <c r="F25" s="3">
        <f t="shared" si="1"/>
        <v>0.37680627887403884</v>
      </c>
      <c r="G25" s="3">
        <f t="shared" si="2"/>
        <v>0.62319372112596116</v>
      </c>
      <c r="H25" s="3">
        <f t="shared" si="3"/>
        <v>0.41990997495162408</v>
      </c>
      <c r="I25" s="3">
        <f t="shared" si="4"/>
        <v>0.62319372112596116</v>
      </c>
      <c r="J25" s="3">
        <v>0.92857142857142805</v>
      </c>
    </row>
    <row r="26" spans="1:10" ht="14.4" x14ac:dyDescent="0.25">
      <c r="A26" s="8" t="s">
        <v>124</v>
      </c>
      <c r="B26" s="4" t="s">
        <v>34</v>
      </c>
      <c r="C26" s="4">
        <v>0.39993728059293399</v>
      </c>
      <c r="D26" s="3">
        <f t="shared" si="0"/>
        <v>0.64820508099842178</v>
      </c>
      <c r="E26" s="3">
        <v>0.23134045616427901</v>
      </c>
      <c r="F26" s="3">
        <f t="shared" si="1"/>
        <v>0.40240065541603709</v>
      </c>
      <c r="G26" s="3">
        <f t="shared" si="2"/>
        <v>0.59759934458396291</v>
      </c>
      <c r="H26" s="3">
        <f t="shared" si="3"/>
        <v>0.41446990037412096</v>
      </c>
      <c r="I26" s="3">
        <f t="shared" si="4"/>
        <v>0.59759934458396291</v>
      </c>
      <c r="J26" s="3">
        <v>0.66666666666666596</v>
      </c>
    </row>
    <row r="27" spans="1:10" ht="14.4" x14ac:dyDescent="0.25">
      <c r="A27" s="8" t="s">
        <v>1</v>
      </c>
      <c r="B27" s="4" t="s">
        <v>35</v>
      </c>
      <c r="C27" s="4">
        <v>0.186893523175969</v>
      </c>
      <c r="D27" s="3">
        <f t="shared" si="0"/>
        <v>0.1854272637834431</v>
      </c>
      <c r="E27" s="3">
        <v>6.9518716577540093E-2</v>
      </c>
      <c r="F27" s="3">
        <f t="shared" si="1"/>
        <v>0.12092297896490162</v>
      </c>
      <c r="G27" s="3">
        <f t="shared" si="2"/>
        <v>0.87907702103509844</v>
      </c>
      <c r="H27" s="3">
        <f t="shared" si="3"/>
        <v>0.47429786880631924</v>
      </c>
      <c r="I27" s="3">
        <f t="shared" si="4"/>
        <v>0.87907702103509844</v>
      </c>
      <c r="J27" s="3">
        <v>0.71428571428571397</v>
      </c>
    </row>
    <row r="28" spans="1:10" ht="14.4" x14ac:dyDescent="0.25">
      <c r="A28" s="8" t="s">
        <v>125</v>
      </c>
      <c r="B28" s="4" t="s">
        <v>36</v>
      </c>
      <c r="C28" s="4">
        <v>0.41303315585973199</v>
      </c>
      <c r="D28" s="3">
        <f t="shared" si="0"/>
        <v>0.67665219742167826</v>
      </c>
      <c r="E28" s="3">
        <v>0.254917387883556</v>
      </c>
      <c r="F28" s="3">
        <f t="shared" si="1"/>
        <v>0.44341109057226008</v>
      </c>
      <c r="G28" s="3">
        <f t="shared" si="2"/>
        <v>0.55658890942773986</v>
      </c>
      <c r="H28" s="3">
        <f t="shared" si="3"/>
        <v>0.40575314865564793</v>
      </c>
      <c r="I28" s="3">
        <f t="shared" si="4"/>
        <v>0.55658890942773975</v>
      </c>
      <c r="J28" s="3">
        <v>0.66666666666666596</v>
      </c>
    </row>
    <row r="29" spans="1:10" ht="14.4" x14ac:dyDescent="0.25">
      <c r="A29" s="8" t="s">
        <v>126</v>
      </c>
      <c r="B29" s="4" t="s">
        <v>37</v>
      </c>
      <c r="C29" s="4">
        <v>0.36879757131181401</v>
      </c>
      <c r="D29" s="3">
        <f t="shared" si="0"/>
        <v>0.58056279537340227</v>
      </c>
      <c r="E29" s="3">
        <v>0.18019774404679001</v>
      </c>
      <c r="F29" s="3">
        <f t="shared" si="1"/>
        <v>0.31344145987776451</v>
      </c>
      <c r="G29" s="3">
        <f t="shared" si="2"/>
        <v>0.68655854012223549</v>
      </c>
      <c r="H29" s="3">
        <f t="shared" si="3"/>
        <v>0.43337814208451275</v>
      </c>
      <c r="I29" s="3">
        <f t="shared" si="4"/>
        <v>0.68655854012223549</v>
      </c>
      <c r="J29" s="3">
        <v>0.66666666666666596</v>
      </c>
    </row>
    <row r="30" spans="1:10" ht="14.4" x14ac:dyDescent="0.25">
      <c r="A30" s="8" t="s">
        <v>180</v>
      </c>
      <c r="B30" s="4" t="s">
        <v>38</v>
      </c>
      <c r="C30" s="4">
        <v>0.38942696998897902</v>
      </c>
      <c r="D30" s="3">
        <f t="shared" si="0"/>
        <v>0.62537437871208301</v>
      </c>
      <c r="E30" s="3">
        <v>0.242283950617283</v>
      </c>
      <c r="F30" s="3">
        <f t="shared" si="1"/>
        <v>0.4214361039210035</v>
      </c>
      <c r="G30" s="3">
        <f t="shared" si="2"/>
        <v>0.5785638960789965</v>
      </c>
      <c r="H30" s="3">
        <f t="shared" si="3"/>
        <v>0.41042392334813976</v>
      </c>
      <c r="I30" s="3">
        <f t="shared" si="4"/>
        <v>0.5785638960789965</v>
      </c>
      <c r="J30" s="3">
        <v>0.83333333333333304</v>
      </c>
    </row>
    <row r="31" spans="1:10" ht="14.4" x14ac:dyDescent="0.25">
      <c r="A31" s="8" t="s">
        <v>127</v>
      </c>
      <c r="B31" s="4" t="s">
        <v>39</v>
      </c>
      <c r="C31" s="4">
        <v>0.39580283512151698</v>
      </c>
      <c r="D31" s="3">
        <f t="shared" si="0"/>
        <v>0.63922415767142671</v>
      </c>
      <c r="E31" s="3">
        <v>0.30305602716468499</v>
      </c>
      <c r="F31" s="3">
        <f t="shared" si="1"/>
        <v>0.527144910063853</v>
      </c>
      <c r="G31" s="3">
        <f t="shared" si="2"/>
        <v>0.472855089936147</v>
      </c>
      <c r="H31" s="3">
        <f t="shared" si="3"/>
        <v>0.38795555855041597</v>
      </c>
      <c r="I31" s="3">
        <f t="shared" si="4"/>
        <v>0.47285508993614683</v>
      </c>
      <c r="J31" s="3">
        <v>0.95652173913043403</v>
      </c>
    </row>
    <row r="32" spans="1:10" ht="14.4" x14ac:dyDescent="0.25">
      <c r="A32" s="8" t="s">
        <v>128</v>
      </c>
      <c r="B32" s="4" t="s">
        <v>40</v>
      </c>
      <c r="C32" s="4">
        <v>0.371998417487161</v>
      </c>
      <c r="D32" s="3">
        <f t="shared" si="0"/>
        <v>0.58751573604731677</v>
      </c>
      <c r="E32" s="3">
        <v>0.210515532205304</v>
      </c>
      <c r="F32" s="3">
        <f t="shared" si="1"/>
        <v>0.36617714661423062</v>
      </c>
      <c r="G32" s="3">
        <f t="shared" si="2"/>
        <v>0.63382285338576938</v>
      </c>
      <c r="H32" s="3">
        <f t="shared" si="3"/>
        <v>0.42216919279553666</v>
      </c>
      <c r="I32" s="3">
        <f t="shared" si="4"/>
        <v>0.63382285338576927</v>
      </c>
      <c r="J32" s="3">
        <v>0.66666666666666596</v>
      </c>
    </row>
    <row r="33" spans="1:10" ht="14.4" x14ac:dyDescent="0.25">
      <c r="A33" s="8" t="s">
        <v>129</v>
      </c>
      <c r="B33" s="4" t="s">
        <v>41</v>
      </c>
      <c r="C33" s="4">
        <v>0.37426514592569898</v>
      </c>
      <c r="D33" s="3">
        <f t="shared" si="0"/>
        <v>0.59243956790103636</v>
      </c>
      <c r="E33" s="3">
        <v>0.16294748196588599</v>
      </c>
      <c r="F33" s="3">
        <f t="shared" si="1"/>
        <v>0.28343582712961735</v>
      </c>
      <c r="G33" s="3">
        <f t="shared" si="2"/>
        <v>0.71656417287038265</v>
      </c>
      <c r="H33" s="3">
        <f t="shared" si="3"/>
        <v>0.43975582741813435</v>
      </c>
      <c r="I33" s="3">
        <f t="shared" si="4"/>
        <v>0.71656417287038277</v>
      </c>
      <c r="J33" s="3">
        <v>0.66666666666666596</v>
      </c>
    </row>
    <row r="34" spans="1:10" ht="14.4" x14ac:dyDescent="0.25">
      <c r="A34" s="8" t="s">
        <v>130</v>
      </c>
      <c r="B34" s="4" t="s">
        <v>42</v>
      </c>
      <c r="C34" s="4">
        <v>0.33314837971504702</v>
      </c>
      <c r="D34" s="3">
        <f t="shared" si="0"/>
        <v>0.50312492405224685</v>
      </c>
      <c r="E34" s="3">
        <v>0.191531614596262</v>
      </c>
      <c r="F34" s="3">
        <f t="shared" si="1"/>
        <v>0.33315594048840774</v>
      </c>
      <c r="G34" s="3">
        <f t="shared" si="2"/>
        <v>0.66684405951159231</v>
      </c>
      <c r="H34" s="3">
        <f t="shared" si="3"/>
        <v>0.42918783705392716</v>
      </c>
      <c r="I34" s="3">
        <f t="shared" si="4"/>
        <v>0.66684405951159242</v>
      </c>
      <c r="J34" s="3">
        <v>0.66666666666666596</v>
      </c>
    </row>
    <row r="35" spans="1:10" ht="14.4" x14ac:dyDescent="0.25">
      <c r="A35" s="8" t="s">
        <v>131</v>
      </c>
      <c r="B35" s="4" t="s">
        <v>43</v>
      </c>
      <c r="C35" s="4">
        <v>0.46971286642504201</v>
      </c>
      <c r="D35" s="3">
        <f t="shared" si="0"/>
        <v>0.79977297342476905</v>
      </c>
      <c r="E35" s="3">
        <v>0.275178687459389</v>
      </c>
      <c r="F35" s="3">
        <f t="shared" si="1"/>
        <v>0.47865421390692736</v>
      </c>
      <c r="G35" s="3">
        <f t="shared" si="2"/>
        <v>0.52134578609307258</v>
      </c>
      <c r="H35" s="3">
        <f t="shared" si="3"/>
        <v>0.39826223677623079</v>
      </c>
      <c r="I35" s="3">
        <f t="shared" si="4"/>
        <v>0.52134578609307247</v>
      </c>
      <c r="J35" s="3">
        <v>0.66666666666666596</v>
      </c>
    </row>
    <row r="36" spans="1:10" ht="14.4" x14ac:dyDescent="0.25">
      <c r="A36" s="8" t="s">
        <v>132</v>
      </c>
      <c r="B36" s="4" t="s">
        <v>44</v>
      </c>
      <c r="C36" s="4">
        <v>0.56188910411665505</v>
      </c>
      <c r="D36" s="3">
        <f t="shared" si="0"/>
        <v>1</v>
      </c>
      <c r="E36" s="3">
        <v>4.4963439921423098E-2</v>
      </c>
      <c r="F36" s="3">
        <f t="shared" si="1"/>
        <v>7.8210780743390038E-2</v>
      </c>
      <c r="G36" s="3">
        <f t="shared" si="2"/>
        <v>0.92178921925660995</v>
      </c>
      <c r="H36" s="3">
        <f t="shared" si="3"/>
        <v>0.48337632958901655</v>
      </c>
      <c r="I36" s="3">
        <f t="shared" si="4"/>
        <v>0.92178921925661006</v>
      </c>
      <c r="J36" s="3">
        <v>0.98201438848920797</v>
      </c>
    </row>
    <row r="37" spans="1:10" ht="14.4" x14ac:dyDescent="0.25">
      <c r="A37" s="8" t="s">
        <v>2</v>
      </c>
      <c r="B37" s="4" t="s">
        <v>45</v>
      </c>
      <c r="C37" s="4">
        <v>0.37372090678393599</v>
      </c>
      <c r="D37" s="3">
        <f t="shared" si="0"/>
        <v>0.59125736099142423</v>
      </c>
      <c r="E37" s="3">
        <v>0.25004883003242301</v>
      </c>
      <c r="F37" s="3">
        <f t="shared" si="1"/>
        <v>0.43494257234285189</v>
      </c>
      <c r="G37" s="3">
        <f t="shared" si="2"/>
        <v>0.56505742765714806</v>
      </c>
      <c r="H37" s="3">
        <f t="shared" si="3"/>
        <v>0.40755312884478556</v>
      </c>
      <c r="I37" s="3">
        <f t="shared" si="4"/>
        <v>0.56505742765714806</v>
      </c>
      <c r="J37" s="3">
        <v>0.66666666666666596</v>
      </c>
    </row>
    <row r="38" spans="1:10" ht="14.4" x14ac:dyDescent="0.25">
      <c r="A38" s="8" t="s">
        <v>133</v>
      </c>
      <c r="B38" s="4" t="s">
        <v>46</v>
      </c>
      <c r="C38" s="4">
        <v>0.41309483213624498</v>
      </c>
      <c r="D38" s="3">
        <f t="shared" si="0"/>
        <v>0.67678617183597078</v>
      </c>
      <c r="E38" s="3">
        <v>0.27435064935064901</v>
      </c>
      <c r="F38" s="3">
        <f t="shared" si="1"/>
        <v>0.47721389912934337</v>
      </c>
      <c r="G38" s="3">
        <f t="shared" si="2"/>
        <v>0.52278610087065669</v>
      </c>
      <c r="H38" s="3">
        <f t="shared" si="3"/>
        <v>0.39856837511065285</v>
      </c>
      <c r="I38" s="3">
        <f t="shared" si="4"/>
        <v>0.5227861008706568</v>
      </c>
      <c r="J38" s="3">
        <v>0.75</v>
      </c>
    </row>
    <row r="39" spans="1:10" ht="14.4" x14ac:dyDescent="0.25">
      <c r="A39" s="8" t="s">
        <v>134</v>
      </c>
      <c r="B39" s="4" t="s">
        <v>47</v>
      </c>
      <c r="C39" s="4">
        <v>0.383824095453625</v>
      </c>
      <c r="D39" s="3">
        <f t="shared" si="0"/>
        <v>0.61320370504842914</v>
      </c>
      <c r="E39" s="3">
        <v>0</v>
      </c>
      <c r="F39" s="3">
        <f t="shared" si="1"/>
        <v>0</v>
      </c>
      <c r="G39" s="3">
        <f t="shared" si="2"/>
        <v>1</v>
      </c>
      <c r="H39" s="3">
        <f t="shared" si="3"/>
        <v>0.5</v>
      </c>
      <c r="I39" s="3">
        <f t="shared" si="4"/>
        <v>1</v>
      </c>
      <c r="J39" s="3">
        <v>0.66666666666666596</v>
      </c>
    </row>
    <row r="40" spans="1:10" ht="14.4" x14ac:dyDescent="0.25">
      <c r="A40" s="8" t="s">
        <v>135</v>
      </c>
      <c r="B40" s="4" t="s">
        <v>48</v>
      </c>
      <c r="C40" s="4">
        <v>0.43973593784005999</v>
      </c>
      <c r="D40" s="3">
        <f t="shared" si="0"/>
        <v>0.73465650277308037</v>
      </c>
      <c r="E40" s="3">
        <v>0.33333333333333298</v>
      </c>
      <c r="F40" s="3">
        <f t="shared" si="1"/>
        <v>0.57981018119068162</v>
      </c>
      <c r="G40" s="3">
        <f t="shared" si="2"/>
        <v>0.42018981880931838</v>
      </c>
      <c r="H40" s="3">
        <f t="shared" si="3"/>
        <v>0.37676157607132565</v>
      </c>
      <c r="I40" s="3">
        <f t="shared" si="4"/>
        <v>0.42018981880931827</v>
      </c>
      <c r="J40" s="3">
        <v>0.80769230769230704</v>
      </c>
    </row>
    <row r="41" spans="1:10" ht="14.4" x14ac:dyDescent="0.25">
      <c r="A41" s="8" t="s">
        <v>181</v>
      </c>
      <c r="B41" s="4" t="s">
        <v>49</v>
      </c>
      <c r="C41" s="4">
        <v>0.20837689238211199</v>
      </c>
      <c r="D41" s="3">
        <f t="shared" si="0"/>
        <v>0.23209385860970691</v>
      </c>
      <c r="E41" s="3">
        <v>0.57490079365079305</v>
      </c>
      <c r="F41" s="3">
        <f t="shared" si="1"/>
        <v>1</v>
      </c>
      <c r="G41" s="3">
        <f t="shared" si="2"/>
        <v>0</v>
      </c>
      <c r="H41" s="3">
        <f t="shared" si="3"/>
        <v>0.28745039682539653</v>
      </c>
      <c r="I41" s="3">
        <f t="shared" si="4"/>
        <v>0</v>
      </c>
      <c r="J41" s="3">
        <v>0.66666666666666596</v>
      </c>
    </row>
    <row r="42" spans="1:10" ht="14.4" x14ac:dyDescent="0.25">
      <c r="A42" s="8" t="s">
        <v>182</v>
      </c>
      <c r="B42" s="4" t="s">
        <v>50</v>
      </c>
      <c r="C42" s="4">
        <v>0.33796509621893001</v>
      </c>
      <c r="D42" s="3">
        <f t="shared" si="0"/>
        <v>0.51358788986188397</v>
      </c>
      <c r="E42" s="3">
        <v>0.21355983198088399</v>
      </c>
      <c r="F42" s="3">
        <f t="shared" si="1"/>
        <v>0.37147249462766402</v>
      </c>
      <c r="G42" s="3">
        <f t="shared" si="2"/>
        <v>0.62852750537233604</v>
      </c>
      <c r="H42" s="3">
        <f t="shared" si="3"/>
        <v>0.42104366867661003</v>
      </c>
      <c r="I42" s="3">
        <f t="shared" si="4"/>
        <v>0.62852750537233615</v>
      </c>
      <c r="J42" s="3">
        <v>0.66666666666666596</v>
      </c>
    </row>
    <row r="43" spans="1:10" ht="14.4" x14ac:dyDescent="0.25">
      <c r="A43" s="8" t="s">
        <v>3</v>
      </c>
      <c r="B43" s="4" t="s">
        <v>51</v>
      </c>
      <c r="C43" s="4">
        <v>0.46140930128021701</v>
      </c>
      <c r="D43" s="3">
        <f t="shared" si="0"/>
        <v>0.78173580679095112</v>
      </c>
      <c r="E43" s="3">
        <v>0.26194267515923497</v>
      </c>
      <c r="F43" s="3">
        <f t="shared" si="1"/>
        <v>0.45563108983694411</v>
      </c>
      <c r="G43" s="3">
        <f t="shared" si="2"/>
        <v>0.54436891016305589</v>
      </c>
      <c r="H43" s="3">
        <f t="shared" si="3"/>
        <v>0.40315579266114543</v>
      </c>
      <c r="I43" s="3">
        <f t="shared" si="4"/>
        <v>0.54436891016305589</v>
      </c>
      <c r="J43" s="3">
        <v>0.875</v>
      </c>
    </row>
    <row r="44" spans="1:10" ht="14.4" x14ac:dyDescent="0.25">
      <c r="A44" s="8" t="s">
        <v>136</v>
      </c>
      <c r="B44" s="4" t="s">
        <v>52</v>
      </c>
      <c r="C44" s="4">
        <v>0.39090646097040299</v>
      </c>
      <c r="D44" s="3">
        <f t="shared" si="0"/>
        <v>0.6285881579622894</v>
      </c>
      <c r="E44" s="3">
        <v>0.30702170722792299</v>
      </c>
      <c r="F44" s="3">
        <f t="shared" si="1"/>
        <v>0.53404293509188383</v>
      </c>
      <c r="G44" s="3">
        <f t="shared" si="2"/>
        <v>0.46595706490811617</v>
      </c>
      <c r="H44" s="3">
        <f t="shared" si="3"/>
        <v>0.38648938606801958</v>
      </c>
      <c r="I44" s="3">
        <f t="shared" si="4"/>
        <v>0.46595706490811623</v>
      </c>
      <c r="J44" s="3">
        <v>0.9</v>
      </c>
    </row>
    <row r="45" spans="1:10" ht="14.4" x14ac:dyDescent="0.25">
      <c r="A45" s="8" t="s">
        <v>137</v>
      </c>
      <c r="B45" s="4" t="s">
        <v>53</v>
      </c>
      <c r="C45" s="4">
        <v>0.38931342991111001</v>
      </c>
      <c r="D45" s="3">
        <f t="shared" si="0"/>
        <v>0.62512774473397592</v>
      </c>
      <c r="E45" s="3">
        <v>0.32049158894796398</v>
      </c>
      <c r="F45" s="3">
        <f t="shared" si="1"/>
        <v>0.55747285877402597</v>
      </c>
      <c r="G45" s="3">
        <f t="shared" si="2"/>
        <v>0.44252714122597403</v>
      </c>
      <c r="H45" s="3">
        <f t="shared" si="3"/>
        <v>0.38150936508696898</v>
      </c>
      <c r="I45" s="3">
        <f t="shared" si="4"/>
        <v>0.44252714122597386</v>
      </c>
      <c r="J45" s="3">
        <v>0.92857142857142805</v>
      </c>
    </row>
    <row r="46" spans="1:10" ht="14.4" x14ac:dyDescent="0.25">
      <c r="A46" s="8" t="s">
        <v>183</v>
      </c>
      <c r="B46" s="4" t="s">
        <v>54</v>
      </c>
      <c r="C46" s="4">
        <v>0.412313314566426</v>
      </c>
      <c r="D46" s="3">
        <f t="shared" si="0"/>
        <v>0.67508854408352692</v>
      </c>
      <c r="E46" s="3">
        <v>0.23146537227935299</v>
      </c>
      <c r="F46" s="3">
        <f t="shared" si="1"/>
        <v>0.40261793832198112</v>
      </c>
      <c r="G46" s="3">
        <f t="shared" si="2"/>
        <v>0.59738206167801888</v>
      </c>
      <c r="H46" s="3">
        <f t="shared" si="3"/>
        <v>0.41442371697868596</v>
      </c>
      <c r="I46" s="3">
        <f t="shared" si="4"/>
        <v>0.59738206167801899</v>
      </c>
      <c r="J46" s="3">
        <v>0.66666666666666596</v>
      </c>
    </row>
    <row r="47" spans="1:10" ht="14.4" x14ac:dyDescent="0.25">
      <c r="A47" s="8" t="s">
        <v>138</v>
      </c>
      <c r="B47" s="4" t="s">
        <v>55</v>
      </c>
      <c r="C47" s="4">
        <v>0.412657117720866</v>
      </c>
      <c r="D47" s="3">
        <f t="shared" si="0"/>
        <v>0.67583536002074285</v>
      </c>
      <c r="E47" s="3">
        <v>0.25004883003242301</v>
      </c>
      <c r="F47" s="3">
        <f t="shared" si="1"/>
        <v>0.43494257234285189</v>
      </c>
      <c r="G47" s="3">
        <f t="shared" si="2"/>
        <v>0.56505742765714806</v>
      </c>
      <c r="H47" s="3">
        <f t="shared" si="3"/>
        <v>0.40755312884478556</v>
      </c>
      <c r="I47" s="3">
        <f t="shared" si="4"/>
        <v>0.56505742765714806</v>
      </c>
      <c r="J47" s="3">
        <v>0.91249999999999998</v>
      </c>
    </row>
    <row r="48" spans="1:10" ht="14.4" x14ac:dyDescent="0.25">
      <c r="A48" s="8" t="s">
        <v>139</v>
      </c>
      <c r="B48" s="4" t="s">
        <v>56</v>
      </c>
      <c r="C48" s="4">
        <v>0.34444628855140502</v>
      </c>
      <c r="D48" s="3">
        <f t="shared" si="0"/>
        <v>0.52766646262523875</v>
      </c>
      <c r="E48" s="3">
        <v>0.20227410996308401</v>
      </c>
      <c r="F48" s="3">
        <f t="shared" si="1"/>
        <v>0.35184176504363918</v>
      </c>
      <c r="G48" s="3">
        <f t="shared" si="2"/>
        <v>0.64815823495636082</v>
      </c>
      <c r="H48" s="3">
        <f t="shared" si="3"/>
        <v>0.42521617245972243</v>
      </c>
      <c r="I48" s="3">
        <f t="shared" si="4"/>
        <v>0.64815823495636082</v>
      </c>
      <c r="J48" s="3">
        <v>0.83333333333333304</v>
      </c>
    </row>
    <row r="49" spans="1:10" ht="14.4" x14ac:dyDescent="0.25">
      <c r="A49" s="8" t="s">
        <v>140</v>
      </c>
      <c r="B49" s="4" t="s">
        <v>57</v>
      </c>
      <c r="C49" s="4">
        <v>0.37488560051617698</v>
      </c>
      <c r="D49" s="3">
        <f t="shared" si="0"/>
        <v>0.59378733149919916</v>
      </c>
      <c r="E49" s="3">
        <v>0.29295962629295902</v>
      </c>
      <c r="F49" s="3">
        <f t="shared" si="1"/>
        <v>0.50958292200742539</v>
      </c>
      <c r="G49" s="3">
        <f t="shared" si="2"/>
        <v>0.49041707799257461</v>
      </c>
      <c r="H49" s="3">
        <f t="shared" si="3"/>
        <v>0.39168835214276682</v>
      </c>
      <c r="I49" s="3">
        <f t="shared" si="4"/>
        <v>0.49041707799257456</v>
      </c>
      <c r="J49" s="3">
        <v>0.66666666666666596</v>
      </c>
    </row>
    <row r="50" spans="1:10" ht="14.4" x14ac:dyDescent="0.25">
      <c r="A50" s="8" t="s">
        <v>141</v>
      </c>
      <c r="B50" s="4" t="s">
        <v>58</v>
      </c>
      <c r="C50" s="4">
        <v>0.32898506487902801</v>
      </c>
      <c r="D50" s="3">
        <f t="shared" si="0"/>
        <v>0.49408129012674895</v>
      </c>
      <c r="E50" s="3">
        <v>0.33386688008536702</v>
      </c>
      <c r="F50" s="3">
        <f t="shared" si="1"/>
        <v>0.58073824870759327</v>
      </c>
      <c r="G50" s="3">
        <f t="shared" si="2"/>
        <v>0.41926175129240673</v>
      </c>
      <c r="H50" s="3">
        <f t="shared" si="3"/>
        <v>0.37656431568888687</v>
      </c>
      <c r="I50" s="3">
        <f t="shared" si="4"/>
        <v>0.41926175129240673</v>
      </c>
      <c r="J50" s="3">
        <v>0.66666666666666596</v>
      </c>
    </row>
    <row r="51" spans="1:10" ht="14.4" x14ac:dyDescent="0.25">
      <c r="A51" s="8" t="s">
        <v>142</v>
      </c>
      <c r="B51" s="4" t="s">
        <v>59</v>
      </c>
      <c r="C51" s="4">
        <v>0.43956937075667102</v>
      </c>
      <c r="D51" s="3">
        <f t="shared" si="0"/>
        <v>0.73429468249632013</v>
      </c>
      <c r="E51" s="3">
        <v>0.29295962629295902</v>
      </c>
      <c r="F51" s="3">
        <f t="shared" si="1"/>
        <v>0.50958292200742539</v>
      </c>
      <c r="G51" s="3">
        <f t="shared" si="2"/>
        <v>0.49041707799257461</v>
      </c>
      <c r="H51" s="3">
        <f t="shared" si="3"/>
        <v>0.39168835214276682</v>
      </c>
      <c r="I51" s="3">
        <f t="shared" si="4"/>
        <v>0.49041707799257456</v>
      </c>
      <c r="J51" s="3">
        <v>0.66666666666666596</v>
      </c>
    </row>
    <row r="52" spans="1:10" ht="14.4" x14ac:dyDescent="0.25">
      <c r="A52" s="8" t="s">
        <v>143</v>
      </c>
      <c r="B52" s="4" t="s">
        <v>60</v>
      </c>
      <c r="C52" s="4">
        <v>0.39960096072105999</v>
      </c>
      <c r="D52" s="3">
        <f t="shared" si="0"/>
        <v>0.64747452039397635</v>
      </c>
      <c r="E52" s="3">
        <v>0.26627930274493999</v>
      </c>
      <c r="F52" s="3">
        <f t="shared" si="1"/>
        <v>0.46317435231561654</v>
      </c>
      <c r="G52" s="3">
        <f t="shared" si="2"/>
        <v>0.53682564768438346</v>
      </c>
      <c r="H52" s="3">
        <f t="shared" si="3"/>
        <v>0.40155247521466175</v>
      </c>
      <c r="I52" s="3">
        <f t="shared" si="4"/>
        <v>0.53682564768438357</v>
      </c>
      <c r="J52" s="3">
        <v>0.66666666666666596</v>
      </c>
    </row>
    <row r="53" spans="1:10" ht="14.4" x14ac:dyDescent="0.25">
      <c r="A53" s="8" t="s">
        <v>144</v>
      </c>
      <c r="B53" s="4" t="s">
        <v>61</v>
      </c>
      <c r="C53" s="4">
        <v>0.339640887900511</v>
      </c>
      <c r="D53" s="3">
        <f t="shared" si="0"/>
        <v>0.51722807733281395</v>
      </c>
      <c r="E53" s="3">
        <v>0.28250881683245999</v>
      </c>
      <c r="F53" s="3">
        <f t="shared" si="1"/>
        <v>0.49140446482678163</v>
      </c>
      <c r="G53" s="3">
        <f t="shared" si="2"/>
        <v>0.50859553517321832</v>
      </c>
      <c r="H53" s="3">
        <f t="shared" si="3"/>
        <v>0.39555217600283915</v>
      </c>
      <c r="I53" s="3">
        <f t="shared" si="4"/>
        <v>0.50859553517321832</v>
      </c>
      <c r="J53" s="3">
        <v>0.66666666666666596</v>
      </c>
    </row>
    <row r="54" spans="1:10" ht="14.4" x14ac:dyDescent="0.25">
      <c r="A54" s="8" t="s">
        <v>145</v>
      </c>
      <c r="B54" s="4" t="s">
        <v>62</v>
      </c>
      <c r="C54" s="4">
        <v>0.32306977250578101</v>
      </c>
      <c r="D54" s="3">
        <f t="shared" si="0"/>
        <v>0.48123197632441139</v>
      </c>
      <c r="E54" s="3">
        <v>0.31578947368421001</v>
      </c>
      <c r="F54" s="3">
        <f t="shared" si="1"/>
        <v>0.54929385586485591</v>
      </c>
      <c r="G54" s="3">
        <f t="shared" si="2"/>
        <v>0.45070614413514409</v>
      </c>
      <c r="H54" s="3">
        <f t="shared" si="3"/>
        <v>0.38324780890967702</v>
      </c>
      <c r="I54" s="3">
        <f t="shared" si="4"/>
        <v>0.45070614413514404</v>
      </c>
      <c r="J54" s="3">
        <v>8.6558846689684402E-2</v>
      </c>
    </row>
    <row r="55" spans="1:10" ht="14.4" x14ac:dyDescent="0.25">
      <c r="A55" s="8" t="s">
        <v>146</v>
      </c>
      <c r="B55" s="4" t="s">
        <v>63</v>
      </c>
      <c r="C55" s="4">
        <v>0.439229133608457</v>
      </c>
      <c r="D55" s="3">
        <f t="shared" si="0"/>
        <v>0.73355561270758307</v>
      </c>
      <c r="E55" s="3">
        <v>0.32129774986917797</v>
      </c>
      <c r="F55" s="3">
        <f t="shared" si="1"/>
        <v>0.55887511970341974</v>
      </c>
      <c r="G55" s="3">
        <f t="shared" si="2"/>
        <v>0.44112488029658026</v>
      </c>
      <c r="H55" s="3">
        <f t="shared" si="3"/>
        <v>0.38121131508287909</v>
      </c>
      <c r="I55" s="3">
        <f t="shared" si="4"/>
        <v>0.44112488029658009</v>
      </c>
      <c r="J55" s="3">
        <v>0.8</v>
      </c>
    </row>
    <row r="56" spans="1:10" ht="14.4" x14ac:dyDescent="0.25">
      <c r="A56" s="8" t="s">
        <v>147</v>
      </c>
      <c r="B56" s="4" t="s">
        <v>64</v>
      </c>
      <c r="C56" s="4">
        <v>0.41340498451711399</v>
      </c>
      <c r="D56" s="3">
        <f t="shared" si="0"/>
        <v>0.67745989090459247</v>
      </c>
      <c r="E56" s="3">
        <v>0.18820957619349801</v>
      </c>
      <c r="F56" s="3">
        <f t="shared" si="1"/>
        <v>0.3273774854237208</v>
      </c>
      <c r="G56" s="3">
        <f t="shared" si="2"/>
        <v>0.6726225145762792</v>
      </c>
      <c r="H56" s="3">
        <f t="shared" si="3"/>
        <v>0.43041604538488859</v>
      </c>
      <c r="I56" s="3">
        <f t="shared" si="4"/>
        <v>0.67262251457627908</v>
      </c>
      <c r="J56" s="3">
        <v>0.66666666666666596</v>
      </c>
    </row>
    <row r="57" spans="1:10" ht="14.4" x14ac:dyDescent="0.25">
      <c r="A57" s="8" t="s">
        <v>148</v>
      </c>
      <c r="B57" s="4" t="s">
        <v>65</v>
      </c>
      <c r="C57" s="4">
        <v>0.41947837175866898</v>
      </c>
      <c r="D57" s="3">
        <f t="shared" si="0"/>
        <v>0.69065262147236584</v>
      </c>
      <c r="E57" s="3">
        <v>0.22512344755349301</v>
      </c>
      <c r="F57" s="3">
        <f t="shared" si="1"/>
        <v>0.39158660074878548</v>
      </c>
      <c r="G57" s="3">
        <f t="shared" si="2"/>
        <v>0.60841339925121452</v>
      </c>
      <c r="H57" s="3">
        <f t="shared" si="3"/>
        <v>0.41676842340235376</v>
      </c>
      <c r="I57" s="3">
        <f t="shared" si="4"/>
        <v>0.60841339925121452</v>
      </c>
      <c r="J57" s="3">
        <v>0.94736842105263097</v>
      </c>
    </row>
    <row r="58" spans="1:10" ht="14.4" x14ac:dyDescent="0.25">
      <c r="A58" s="8" t="s">
        <v>149</v>
      </c>
      <c r="B58" s="4" t="s">
        <v>66</v>
      </c>
      <c r="C58" s="4">
        <v>0.368855716948775</v>
      </c>
      <c r="D58" s="3">
        <f t="shared" si="0"/>
        <v>0.58068910046339717</v>
      </c>
      <c r="E58" s="3">
        <v>0.28650616364689302</v>
      </c>
      <c r="F58" s="3">
        <f t="shared" si="1"/>
        <v>0.49835757196905689</v>
      </c>
      <c r="G58" s="3">
        <f t="shared" si="2"/>
        <v>0.50164242803094306</v>
      </c>
      <c r="H58" s="3">
        <f t="shared" si="3"/>
        <v>0.39407429583891807</v>
      </c>
      <c r="I58" s="3">
        <f t="shared" si="4"/>
        <v>0.50164242803094306</v>
      </c>
      <c r="J58" s="3">
        <v>0.66666666666666596</v>
      </c>
    </row>
    <row r="59" spans="1:10" ht="14.4" x14ac:dyDescent="0.25">
      <c r="A59" s="8" t="s">
        <v>150</v>
      </c>
      <c r="B59" s="4" t="s">
        <v>67</v>
      </c>
      <c r="C59" s="4">
        <v>0.40228876908999001</v>
      </c>
      <c r="D59" s="3">
        <f t="shared" si="0"/>
        <v>0.65331303030924748</v>
      </c>
      <c r="E59" s="3">
        <v>0.19994566660914501</v>
      </c>
      <c r="F59" s="3">
        <f t="shared" si="1"/>
        <v>0.34779159955482031</v>
      </c>
      <c r="G59" s="3">
        <f t="shared" si="2"/>
        <v>0.65220840044517969</v>
      </c>
      <c r="H59" s="3">
        <f t="shared" si="3"/>
        <v>0.42607703352716236</v>
      </c>
      <c r="I59" s="3">
        <f t="shared" si="4"/>
        <v>0.6522084004451798</v>
      </c>
      <c r="J59" s="3">
        <v>0.89361702127659504</v>
      </c>
    </row>
    <row r="60" spans="1:10" ht="14.4" x14ac:dyDescent="0.25">
      <c r="A60" s="8" t="s">
        <v>151</v>
      </c>
      <c r="B60" s="4" t="s">
        <v>68</v>
      </c>
      <c r="C60" s="4">
        <v>0.32177104330204198</v>
      </c>
      <c r="D60" s="3">
        <f t="shared" si="0"/>
        <v>0.47841085134357764</v>
      </c>
      <c r="E60" s="3">
        <v>0.28289473684210498</v>
      </c>
      <c r="F60" s="3">
        <f t="shared" si="1"/>
        <v>0.49207574587893377</v>
      </c>
      <c r="G60" s="3">
        <f t="shared" si="2"/>
        <v>0.50792425412106623</v>
      </c>
      <c r="H60" s="3">
        <f t="shared" si="3"/>
        <v>0.3954094954815856</v>
      </c>
      <c r="I60" s="3">
        <f t="shared" si="4"/>
        <v>0.50792425412106623</v>
      </c>
      <c r="J60" s="3">
        <v>0.66666666666666596</v>
      </c>
    </row>
    <row r="61" spans="1:10" ht="14.4" x14ac:dyDescent="0.25">
      <c r="A61" s="8" t="s">
        <v>152</v>
      </c>
      <c r="B61" s="4" t="s">
        <v>69</v>
      </c>
      <c r="C61" s="4">
        <v>0.39023321089198199</v>
      </c>
      <c r="D61" s="3">
        <f t="shared" si="0"/>
        <v>0.62712571097248293</v>
      </c>
      <c r="E61" s="3">
        <v>0.225628456426304</v>
      </c>
      <c r="F61" s="3">
        <f t="shared" si="1"/>
        <v>0.39246502860692783</v>
      </c>
      <c r="G61" s="3">
        <f t="shared" si="2"/>
        <v>0.60753497139307222</v>
      </c>
      <c r="H61" s="3">
        <f t="shared" si="3"/>
        <v>0.41658171390968812</v>
      </c>
      <c r="I61" s="3">
        <f t="shared" si="4"/>
        <v>0.60753497139307233</v>
      </c>
      <c r="J61" s="3">
        <v>0.82857142857142796</v>
      </c>
    </row>
    <row r="62" spans="1:10" ht="14.4" x14ac:dyDescent="0.25">
      <c r="A62" s="8" t="s">
        <v>4</v>
      </c>
      <c r="B62" s="4" t="s">
        <v>70</v>
      </c>
      <c r="C62" s="4">
        <v>0.41366732116801902</v>
      </c>
      <c r="D62" s="3">
        <f t="shared" si="0"/>
        <v>0.67802974370926161</v>
      </c>
      <c r="E62" s="3">
        <v>0.17383820998278801</v>
      </c>
      <c r="F62" s="3">
        <f t="shared" si="1"/>
        <v>0.30237949208395254</v>
      </c>
      <c r="G62" s="3">
        <f t="shared" si="2"/>
        <v>0.69762050791604746</v>
      </c>
      <c r="H62" s="3">
        <f t="shared" si="3"/>
        <v>0.43572935894941772</v>
      </c>
      <c r="I62" s="3">
        <f t="shared" si="4"/>
        <v>0.69762050791604735</v>
      </c>
      <c r="J62" s="3">
        <v>0.66666666666666596</v>
      </c>
    </row>
    <row r="63" spans="1:10" ht="14.4" x14ac:dyDescent="0.25">
      <c r="A63" s="8" t="s">
        <v>153</v>
      </c>
      <c r="B63" s="4" t="s">
        <v>71</v>
      </c>
      <c r="C63" s="4">
        <v>0.34984690571709298</v>
      </c>
      <c r="D63" s="3">
        <f t="shared" si="0"/>
        <v>0.53939778887414291</v>
      </c>
      <c r="E63" s="3">
        <v>0.23626373626373601</v>
      </c>
      <c r="F63" s="3">
        <f t="shared" si="1"/>
        <v>0.41096435919559299</v>
      </c>
      <c r="G63" s="3">
        <f t="shared" si="2"/>
        <v>0.58903564080440707</v>
      </c>
      <c r="H63" s="3">
        <f t="shared" si="3"/>
        <v>0.41264968853407152</v>
      </c>
      <c r="I63" s="3">
        <f t="shared" si="4"/>
        <v>0.58903564080440707</v>
      </c>
      <c r="J63" s="3">
        <v>0.66666666666666596</v>
      </c>
    </row>
    <row r="64" spans="1:10" ht="14.4" x14ac:dyDescent="0.25">
      <c r="A64" s="8" t="s">
        <v>154</v>
      </c>
      <c r="B64" s="4" t="s">
        <v>72</v>
      </c>
      <c r="C64" s="4">
        <v>0.29699638352059199</v>
      </c>
      <c r="D64" s="3">
        <f t="shared" si="0"/>
        <v>0.42459485074862113</v>
      </c>
      <c r="E64" s="3">
        <v>0.29516304803420201</v>
      </c>
      <c r="F64" s="3">
        <f t="shared" si="1"/>
        <v>0.51341562108451411</v>
      </c>
      <c r="G64" s="3">
        <f t="shared" si="2"/>
        <v>0.48658437891548589</v>
      </c>
      <c r="H64" s="3">
        <f t="shared" si="3"/>
        <v>0.39087371347484395</v>
      </c>
      <c r="I64" s="3">
        <f t="shared" si="4"/>
        <v>0.48658437891548595</v>
      </c>
      <c r="J64" s="3">
        <v>0.66666666666666596</v>
      </c>
    </row>
    <row r="65" spans="1:10" ht="14.4" x14ac:dyDescent="0.25">
      <c r="A65" s="8" t="s">
        <v>184</v>
      </c>
      <c r="B65" s="4" t="s">
        <v>73</v>
      </c>
      <c r="C65" s="4">
        <v>0.29064370728491101</v>
      </c>
      <c r="D65" s="3">
        <f t="shared" si="0"/>
        <v>0.41079544316462874</v>
      </c>
      <c r="E65" s="3">
        <v>0.27435064935064901</v>
      </c>
      <c r="F65" s="3">
        <f t="shared" si="1"/>
        <v>0.47721389912934337</v>
      </c>
      <c r="G65" s="3">
        <f t="shared" si="2"/>
        <v>0.52278610087065669</v>
      </c>
      <c r="H65" s="3">
        <f t="shared" si="3"/>
        <v>0.39856837511065285</v>
      </c>
      <c r="I65" s="3">
        <f t="shared" si="4"/>
        <v>0.5227861008706568</v>
      </c>
      <c r="J65" s="3">
        <v>0.66666666666666596</v>
      </c>
    </row>
    <row r="66" spans="1:10" ht="14.4" x14ac:dyDescent="0.25">
      <c r="A66" s="8" t="s">
        <v>108</v>
      </c>
      <c r="B66" s="4" t="s">
        <v>74</v>
      </c>
      <c r="C66" s="4">
        <v>0.25811890670007198</v>
      </c>
      <c r="D66" s="3">
        <f t="shared" si="0"/>
        <v>0.34014443511586773</v>
      </c>
      <c r="E66" s="3">
        <v>0.47186147186147098</v>
      </c>
      <c r="F66" s="3">
        <f t="shared" si="1"/>
        <v>0.82077025649070445</v>
      </c>
      <c r="G66" s="3">
        <f t="shared" si="2"/>
        <v>0.17922974350929555</v>
      </c>
      <c r="H66" s="3">
        <f t="shared" si="3"/>
        <v>0.32554560768538326</v>
      </c>
      <c r="I66" s="3">
        <f t="shared" si="4"/>
        <v>0.17922974350929557</v>
      </c>
      <c r="J66" s="3">
        <v>0.66666666666666596</v>
      </c>
    </row>
    <row r="67" spans="1:10" ht="14.4" x14ac:dyDescent="0.25">
      <c r="A67" s="8" t="s">
        <v>155</v>
      </c>
      <c r="B67" s="4" t="s">
        <v>75</v>
      </c>
      <c r="C67" s="4">
        <v>0.43201848322979403</v>
      </c>
      <c r="D67" s="3">
        <f t="shared" ref="D67:D95" si="5">(C67-$C$99)/($C$101-$C$99)</f>
        <v>0.71789249690735324</v>
      </c>
      <c r="E67" s="3">
        <v>0.23078088313262099</v>
      </c>
      <c r="F67" s="3">
        <f t="shared" ref="F67:F95" si="6">(E67-$E$99)/($E$101-$E$99)</f>
        <v>0.40142731699341189</v>
      </c>
      <c r="G67" s="3">
        <f t="shared" ref="G67:G95" si="7">1-F67</f>
        <v>0.59857268300658806</v>
      </c>
      <c r="H67" s="3">
        <f t="shared" ref="H67:H95" si="8">(E67+G67)/2</f>
        <v>0.41467678306960454</v>
      </c>
      <c r="I67" s="3">
        <f t="shared" ref="I67:I95" si="9">(H67-$H$99)/($H$101-$H$99)</f>
        <v>0.59857268300658806</v>
      </c>
      <c r="J67" s="3">
        <v>0.66666666666666596</v>
      </c>
    </row>
    <row r="68" spans="1:10" ht="14.4" x14ac:dyDescent="0.25">
      <c r="A68" s="8" t="s">
        <v>185</v>
      </c>
      <c r="B68" s="4" t="s">
        <v>76</v>
      </c>
      <c r="C68" s="4">
        <v>0.101530483863261</v>
      </c>
      <c r="D68" s="3">
        <f t="shared" si="5"/>
        <v>0</v>
      </c>
      <c r="E68" s="3">
        <v>0.129943502824858</v>
      </c>
      <c r="F68" s="3">
        <f t="shared" si="6"/>
        <v>0.22602769775229853</v>
      </c>
      <c r="G68" s="3">
        <f t="shared" si="7"/>
        <v>0.77397230224770142</v>
      </c>
      <c r="H68" s="3">
        <f t="shared" si="8"/>
        <v>0.45195790253627971</v>
      </c>
      <c r="I68" s="3">
        <f t="shared" si="9"/>
        <v>0.7739723022477013</v>
      </c>
      <c r="J68" s="3">
        <v>7.2620993708822495E-2</v>
      </c>
    </row>
    <row r="69" spans="1:10" ht="14.4" x14ac:dyDescent="0.25">
      <c r="A69" s="8" t="s">
        <v>5</v>
      </c>
      <c r="B69" s="4" t="s">
        <v>77</v>
      </c>
      <c r="C69" s="4">
        <v>0.22842207165051201</v>
      </c>
      <c r="D69" s="3">
        <f t="shared" si="5"/>
        <v>0.27563638912073896</v>
      </c>
      <c r="E69" s="3">
        <v>8.1081081081081002E-2</v>
      </c>
      <c r="F69" s="3">
        <f t="shared" si="6"/>
        <v>0.14103490893827392</v>
      </c>
      <c r="G69" s="3">
        <f t="shared" si="7"/>
        <v>0.85896509106172614</v>
      </c>
      <c r="H69" s="3">
        <f t="shared" si="8"/>
        <v>0.47002308607140358</v>
      </c>
      <c r="I69" s="3">
        <f t="shared" si="9"/>
        <v>0.85896509106172625</v>
      </c>
      <c r="J69" s="3">
        <v>0.149700598802395</v>
      </c>
    </row>
    <row r="70" spans="1:10" ht="14.4" x14ac:dyDescent="0.25">
      <c r="A70" s="8" t="s">
        <v>156</v>
      </c>
      <c r="B70" s="4" t="s">
        <v>78</v>
      </c>
      <c r="C70" s="4">
        <v>0.37432028526066502</v>
      </c>
      <c r="D70" s="3">
        <f t="shared" si="5"/>
        <v>0.59255934264303134</v>
      </c>
      <c r="E70" s="3">
        <v>0.218338023996444</v>
      </c>
      <c r="F70" s="3">
        <f t="shared" si="6"/>
        <v>0.37978382776258118</v>
      </c>
      <c r="G70" s="3">
        <f t="shared" si="7"/>
        <v>0.62021617223741887</v>
      </c>
      <c r="H70" s="3">
        <f t="shared" si="8"/>
        <v>0.41927709811693142</v>
      </c>
      <c r="I70" s="3">
        <f t="shared" si="9"/>
        <v>0.62021617223741887</v>
      </c>
      <c r="J70" s="3">
        <v>0.66666666666666596</v>
      </c>
    </row>
    <row r="71" spans="1:10" ht="14.4" x14ac:dyDescent="0.25">
      <c r="A71" s="8" t="s">
        <v>157</v>
      </c>
      <c r="B71" s="4" t="s">
        <v>79</v>
      </c>
      <c r="C71" s="4">
        <v>0.101530483863261</v>
      </c>
      <c r="D71" s="3">
        <f t="shared" si="5"/>
        <v>0</v>
      </c>
      <c r="E71" s="3">
        <v>0.273885350318471</v>
      </c>
      <c r="F71" s="3">
        <f t="shared" si="6"/>
        <v>0.47640454378087843</v>
      </c>
      <c r="G71" s="3">
        <f t="shared" si="7"/>
        <v>0.52359545621912162</v>
      </c>
      <c r="H71" s="3">
        <f t="shared" si="8"/>
        <v>0.39874040326879634</v>
      </c>
      <c r="I71" s="3">
        <f t="shared" si="9"/>
        <v>0.52359545621912185</v>
      </c>
      <c r="J71" s="3">
        <v>0.92363636363636303</v>
      </c>
    </row>
    <row r="72" spans="1:10" ht="14.4" x14ac:dyDescent="0.25">
      <c r="A72" s="8" t="s">
        <v>158</v>
      </c>
      <c r="B72" s="4" t="s">
        <v>80</v>
      </c>
      <c r="C72" s="4">
        <v>0.36386512655040798</v>
      </c>
      <c r="D72" s="3">
        <f t="shared" si="5"/>
        <v>0.56984844237901056</v>
      </c>
      <c r="E72" s="3">
        <v>0.159663865546218</v>
      </c>
      <c r="F72" s="3">
        <f t="shared" si="6"/>
        <v>0.27772420443587215</v>
      </c>
      <c r="G72" s="3">
        <f t="shared" si="7"/>
        <v>0.72227579556412791</v>
      </c>
      <c r="H72" s="3">
        <f t="shared" si="8"/>
        <v>0.44096983055517297</v>
      </c>
      <c r="I72" s="3">
        <f t="shared" si="9"/>
        <v>0.72227579556412802</v>
      </c>
      <c r="J72" s="3">
        <v>0.66666666666666596</v>
      </c>
    </row>
    <row r="73" spans="1:10" ht="14.4" x14ac:dyDescent="0.25">
      <c r="A73" s="8" t="s">
        <v>159</v>
      </c>
      <c r="B73" s="4" t="s">
        <v>81</v>
      </c>
      <c r="C73" s="4">
        <v>0.14744206570312299</v>
      </c>
      <c r="D73" s="3">
        <f t="shared" si="5"/>
        <v>9.9730036150058404E-2</v>
      </c>
      <c r="E73" s="3">
        <v>0</v>
      </c>
      <c r="F73" s="3">
        <f t="shared" si="6"/>
        <v>0</v>
      </c>
      <c r="G73" s="3">
        <f t="shared" si="7"/>
        <v>1</v>
      </c>
      <c r="H73" s="3">
        <f t="shared" si="8"/>
        <v>0.5</v>
      </c>
      <c r="I73" s="3">
        <f t="shared" si="9"/>
        <v>1</v>
      </c>
      <c r="J73" s="3">
        <v>3.3333333333333298E-2</v>
      </c>
    </row>
    <row r="74" spans="1:10" ht="14.4" x14ac:dyDescent="0.25">
      <c r="A74" s="8" t="s">
        <v>160</v>
      </c>
      <c r="B74" s="4" t="s">
        <v>82</v>
      </c>
      <c r="C74" s="4">
        <v>0.40681931425385198</v>
      </c>
      <c r="D74" s="3">
        <f t="shared" si="5"/>
        <v>0.66315436913628689</v>
      </c>
      <c r="E74" s="3">
        <v>0.190855927698032</v>
      </c>
      <c r="F74" s="3">
        <f t="shared" si="6"/>
        <v>0.33198063005973505</v>
      </c>
      <c r="G74" s="3">
        <f t="shared" si="7"/>
        <v>0.66801936994026501</v>
      </c>
      <c r="H74" s="3">
        <f t="shared" si="8"/>
        <v>0.42943764881914848</v>
      </c>
      <c r="I74" s="3">
        <f t="shared" si="9"/>
        <v>0.6680193699402649</v>
      </c>
      <c r="J74" s="3">
        <v>0.66666666666666596</v>
      </c>
    </row>
    <row r="75" spans="1:10" ht="14.4" x14ac:dyDescent="0.25">
      <c r="A75" s="8" t="s">
        <v>186</v>
      </c>
      <c r="B75" s="4" t="s">
        <v>83</v>
      </c>
      <c r="C75" s="4">
        <v>0.345487280944967</v>
      </c>
      <c r="D75" s="3">
        <f t="shared" si="5"/>
        <v>0.52992772666541033</v>
      </c>
      <c r="E75" s="3">
        <v>0.26244524093986399</v>
      </c>
      <c r="F75" s="3">
        <f t="shared" si="6"/>
        <v>0.4565052681059244</v>
      </c>
      <c r="G75" s="3">
        <f t="shared" si="7"/>
        <v>0.5434947318940756</v>
      </c>
      <c r="H75" s="3">
        <f t="shared" si="8"/>
        <v>0.40296998641696979</v>
      </c>
      <c r="I75" s="3">
        <f t="shared" si="9"/>
        <v>0.5434947318940756</v>
      </c>
      <c r="J75" s="3">
        <v>0.66666666666666596</v>
      </c>
    </row>
    <row r="76" spans="1:10" ht="14.4" x14ac:dyDescent="0.25">
      <c r="A76" s="8" t="s">
        <v>161</v>
      </c>
      <c r="B76" s="4" t="s">
        <v>84</v>
      </c>
      <c r="C76" s="4">
        <v>0.38973109640999898</v>
      </c>
      <c r="D76" s="3">
        <f t="shared" si="5"/>
        <v>0.62603500807284651</v>
      </c>
      <c r="E76" s="3">
        <v>0.19404049044767599</v>
      </c>
      <c r="F76" s="3">
        <f t="shared" si="6"/>
        <v>0.33751995577438759</v>
      </c>
      <c r="G76" s="3">
        <f t="shared" si="7"/>
        <v>0.66248004422561246</v>
      </c>
      <c r="H76" s="3">
        <f t="shared" si="8"/>
        <v>0.42826026733664424</v>
      </c>
      <c r="I76" s="3">
        <f t="shared" si="9"/>
        <v>0.66248004422561257</v>
      </c>
      <c r="J76" s="3">
        <v>0.66666666666666596</v>
      </c>
    </row>
    <row r="77" spans="1:10" ht="14.4" x14ac:dyDescent="0.25">
      <c r="A77" s="8" t="s">
        <v>162</v>
      </c>
      <c r="B77" s="4" t="s">
        <v>85</v>
      </c>
      <c r="C77" s="4">
        <v>0.42049646618605002</v>
      </c>
      <c r="D77" s="3">
        <f t="shared" si="5"/>
        <v>0.69286414610249158</v>
      </c>
      <c r="E77" s="3">
        <v>0.24640832492039999</v>
      </c>
      <c r="F77" s="3">
        <f t="shared" si="6"/>
        <v>0.42861016655696887</v>
      </c>
      <c r="G77" s="3">
        <f t="shared" si="7"/>
        <v>0.57138983344303118</v>
      </c>
      <c r="H77" s="3">
        <f t="shared" si="8"/>
        <v>0.40889907918171559</v>
      </c>
      <c r="I77" s="3">
        <f t="shared" si="9"/>
        <v>0.57138983344303118</v>
      </c>
      <c r="J77" s="3">
        <v>0.91666666666666596</v>
      </c>
    </row>
    <row r="78" spans="1:10" ht="14.4" x14ac:dyDescent="0.25">
      <c r="A78" s="8" t="s">
        <v>187</v>
      </c>
      <c r="B78" s="4" t="s">
        <v>86</v>
      </c>
      <c r="C78" s="4">
        <v>0.46932035793987598</v>
      </c>
      <c r="D78" s="3">
        <f t="shared" si="5"/>
        <v>0.79892035881542389</v>
      </c>
      <c r="E78" s="3">
        <v>0.28842489021459899</v>
      </c>
      <c r="F78" s="3">
        <f t="shared" si="6"/>
        <v>0.50169506356568783</v>
      </c>
      <c r="G78" s="3">
        <f t="shared" si="7"/>
        <v>0.49830493643431217</v>
      </c>
      <c r="H78" s="3">
        <f t="shared" si="8"/>
        <v>0.39336491332445556</v>
      </c>
      <c r="I78" s="3">
        <f t="shared" si="9"/>
        <v>0.49830493643431201</v>
      </c>
      <c r="J78" s="3">
        <v>0.75</v>
      </c>
    </row>
    <row r="79" spans="1:10" ht="14.4" x14ac:dyDescent="0.25">
      <c r="A79" s="8" t="s">
        <v>163</v>
      </c>
      <c r="B79" s="4" t="s">
        <v>87</v>
      </c>
      <c r="C79" s="4">
        <v>0.35022110601593398</v>
      </c>
      <c r="D79" s="3">
        <f t="shared" si="5"/>
        <v>0.54021063408302605</v>
      </c>
      <c r="E79" s="3">
        <v>0.143454539514521</v>
      </c>
      <c r="F79" s="3">
        <f t="shared" si="6"/>
        <v>0.24952920764562092</v>
      </c>
      <c r="G79" s="3">
        <f t="shared" si="7"/>
        <v>0.75047079235437908</v>
      </c>
      <c r="H79" s="3">
        <f t="shared" si="8"/>
        <v>0.44696266593445005</v>
      </c>
      <c r="I79" s="3">
        <f t="shared" si="9"/>
        <v>0.75047079235437919</v>
      </c>
      <c r="J79" s="3">
        <v>0.66666666666666596</v>
      </c>
    </row>
    <row r="80" spans="1:10" ht="14.4" x14ac:dyDescent="0.25">
      <c r="A80" s="8" t="s">
        <v>164</v>
      </c>
      <c r="B80" s="4" t="s">
        <v>88</v>
      </c>
      <c r="C80" s="4">
        <v>0.37402621093781702</v>
      </c>
      <c r="D80" s="3">
        <f t="shared" si="5"/>
        <v>0.59192054864654631</v>
      </c>
      <c r="E80" s="3">
        <v>0.32014639247124399</v>
      </c>
      <c r="F80" s="3">
        <f t="shared" si="6"/>
        <v>0.55687241347888572</v>
      </c>
      <c r="G80" s="3">
        <f t="shared" si="7"/>
        <v>0.44312758652111428</v>
      </c>
      <c r="H80" s="3">
        <f t="shared" si="8"/>
        <v>0.38163698949617914</v>
      </c>
      <c r="I80" s="3">
        <f t="shared" si="9"/>
        <v>0.44312758652111428</v>
      </c>
      <c r="J80" s="3">
        <v>0.85714285714285698</v>
      </c>
    </row>
    <row r="81" spans="1:10" ht="14.4" x14ac:dyDescent="0.25">
      <c r="A81" s="8" t="s">
        <v>165</v>
      </c>
      <c r="B81" s="4" t="s">
        <v>89</v>
      </c>
      <c r="C81" s="4">
        <v>0.36364488103217801</v>
      </c>
      <c r="D81" s="3">
        <f t="shared" si="5"/>
        <v>0.56937002075608378</v>
      </c>
      <c r="E81" s="3">
        <v>0.262143653448001</v>
      </c>
      <c r="F81" s="3">
        <f t="shared" si="6"/>
        <v>0.45598067761101863</v>
      </c>
      <c r="G81" s="3">
        <f t="shared" si="7"/>
        <v>0.54401932238898132</v>
      </c>
      <c r="H81" s="3">
        <f t="shared" si="8"/>
        <v>0.40308148791849119</v>
      </c>
      <c r="I81" s="3">
        <f t="shared" si="9"/>
        <v>0.54401932238898132</v>
      </c>
      <c r="J81" s="3">
        <v>0.66666666666666596</v>
      </c>
    </row>
    <row r="82" spans="1:10" ht="14.4" x14ac:dyDescent="0.25">
      <c r="A82" s="8" t="s">
        <v>6</v>
      </c>
      <c r="B82" s="4" t="s">
        <v>90</v>
      </c>
      <c r="C82" s="4">
        <v>0.41374067401839199</v>
      </c>
      <c r="D82" s="3">
        <f t="shared" si="5"/>
        <v>0.67818908220569851</v>
      </c>
      <c r="E82" s="3">
        <v>0.25541125541125498</v>
      </c>
      <c r="F82" s="3">
        <f t="shared" si="6"/>
        <v>0.44427013883441807</v>
      </c>
      <c r="G82" s="3">
        <f t="shared" si="7"/>
        <v>0.55572986116558187</v>
      </c>
      <c r="H82" s="3">
        <f t="shared" si="8"/>
        <v>0.40557055828841843</v>
      </c>
      <c r="I82" s="3">
        <f t="shared" si="9"/>
        <v>0.55572986116558187</v>
      </c>
      <c r="J82" s="3">
        <v>0.75</v>
      </c>
    </row>
    <row r="83" spans="1:10" ht="14.4" x14ac:dyDescent="0.25">
      <c r="A83" s="8" t="s">
        <v>166</v>
      </c>
      <c r="B83" s="4" t="s">
        <v>91</v>
      </c>
      <c r="C83" s="4">
        <v>0.413830517006679</v>
      </c>
      <c r="D83" s="3">
        <f t="shared" si="5"/>
        <v>0.67838424090227645</v>
      </c>
      <c r="E83" s="3">
        <v>0.14976707304985601</v>
      </c>
      <c r="F83" s="3">
        <f t="shared" si="6"/>
        <v>0.26050942128430549</v>
      </c>
      <c r="G83" s="3">
        <f t="shared" si="7"/>
        <v>0.73949057871569446</v>
      </c>
      <c r="H83" s="3">
        <f t="shared" si="8"/>
        <v>0.44462882588277525</v>
      </c>
      <c r="I83" s="3">
        <f t="shared" si="9"/>
        <v>0.73949057871569446</v>
      </c>
      <c r="J83" s="3">
        <v>0.66666666666666596</v>
      </c>
    </row>
    <row r="84" spans="1:10" ht="14.4" x14ac:dyDescent="0.25">
      <c r="A84" s="8" t="s">
        <v>167</v>
      </c>
      <c r="B84" s="4" t="s">
        <v>92</v>
      </c>
      <c r="C84" s="4">
        <v>0.310671579245834</v>
      </c>
      <c r="D84" s="3">
        <f t="shared" si="5"/>
        <v>0.45430037840381049</v>
      </c>
      <c r="E84" s="3">
        <v>0.14659307444641501</v>
      </c>
      <c r="F84" s="3">
        <f t="shared" si="6"/>
        <v>0.25498847116822515</v>
      </c>
      <c r="G84" s="3">
        <f t="shared" si="7"/>
        <v>0.74501152883177491</v>
      </c>
      <c r="H84" s="3">
        <f t="shared" si="8"/>
        <v>0.44580230163909496</v>
      </c>
      <c r="I84" s="3">
        <f t="shared" si="9"/>
        <v>0.74501152883177502</v>
      </c>
      <c r="J84" s="3">
        <v>0.75</v>
      </c>
    </row>
    <row r="85" spans="1:10" ht="14.4" x14ac:dyDescent="0.25">
      <c r="A85" s="8" t="s">
        <v>168</v>
      </c>
      <c r="B85" s="4" t="s">
        <v>93</v>
      </c>
      <c r="C85" s="4">
        <v>0.34538596475657402</v>
      </c>
      <c r="D85" s="3">
        <f t="shared" si="5"/>
        <v>0.52970764565913475</v>
      </c>
      <c r="E85" s="3">
        <v>0.20147207389233601</v>
      </c>
      <c r="F85" s="3">
        <f t="shared" si="6"/>
        <v>0.3504466790051336</v>
      </c>
      <c r="G85" s="3">
        <f t="shared" si="7"/>
        <v>0.6495533209948664</v>
      </c>
      <c r="H85" s="3">
        <f t="shared" si="8"/>
        <v>0.42551269744360121</v>
      </c>
      <c r="I85" s="3">
        <f t="shared" si="9"/>
        <v>0.6495533209948664</v>
      </c>
      <c r="J85" s="3">
        <v>0.66666666666666596</v>
      </c>
    </row>
    <row r="86" spans="1:10" ht="14.4" x14ac:dyDescent="0.25">
      <c r="A86" s="8" t="s">
        <v>169</v>
      </c>
      <c r="B86" s="4" t="s">
        <v>94</v>
      </c>
      <c r="C86" s="4">
        <v>0.38958594411195302</v>
      </c>
      <c r="D86" s="3">
        <f t="shared" si="5"/>
        <v>0.62571970541170352</v>
      </c>
      <c r="E86" s="3">
        <v>0.21581670362158101</v>
      </c>
      <c r="F86" s="3">
        <f t="shared" si="6"/>
        <v>0.37539816609241394</v>
      </c>
      <c r="G86" s="3">
        <f t="shared" si="7"/>
        <v>0.62460183390758606</v>
      </c>
      <c r="H86" s="3">
        <f t="shared" si="8"/>
        <v>0.42020926876458353</v>
      </c>
      <c r="I86" s="3">
        <f t="shared" si="9"/>
        <v>0.62460183390758606</v>
      </c>
      <c r="J86" s="3">
        <v>0.66666666666666596</v>
      </c>
    </row>
    <row r="87" spans="1:10" ht="14.4" x14ac:dyDescent="0.25">
      <c r="A87" s="8" t="s">
        <v>170</v>
      </c>
      <c r="B87" s="4" t="s">
        <v>95</v>
      </c>
      <c r="C87" s="4">
        <v>0.469281945005042</v>
      </c>
      <c r="D87" s="3">
        <f t="shared" si="5"/>
        <v>0.79883691748698116</v>
      </c>
      <c r="E87" s="3">
        <v>0.21608634582686401</v>
      </c>
      <c r="F87" s="3">
        <f t="shared" si="6"/>
        <v>0.37586718998011931</v>
      </c>
      <c r="G87" s="3">
        <f t="shared" si="7"/>
        <v>0.62413281001988064</v>
      </c>
      <c r="H87" s="3">
        <f t="shared" si="8"/>
        <v>0.42010957792337233</v>
      </c>
      <c r="I87" s="3">
        <f t="shared" si="9"/>
        <v>0.62413281001988064</v>
      </c>
      <c r="J87" s="3">
        <v>0.875</v>
      </c>
    </row>
    <row r="88" spans="1:10" ht="14.4" x14ac:dyDescent="0.25">
      <c r="A88" s="8" t="s">
        <v>171</v>
      </c>
      <c r="B88" s="4" t="s">
        <v>96</v>
      </c>
      <c r="C88" s="4">
        <v>0.33410144308723499</v>
      </c>
      <c r="D88" s="3">
        <f t="shared" si="5"/>
        <v>0.50519518695220822</v>
      </c>
      <c r="E88" s="3">
        <v>0.32129776084002698</v>
      </c>
      <c r="F88" s="3">
        <f t="shared" si="6"/>
        <v>0.55887513878644957</v>
      </c>
      <c r="G88" s="3">
        <f t="shared" si="7"/>
        <v>0.44112486121355043</v>
      </c>
      <c r="H88" s="3">
        <f t="shared" si="8"/>
        <v>0.38121131102678874</v>
      </c>
      <c r="I88" s="3">
        <f t="shared" si="9"/>
        <v>0.4411248612135506</v>
      </c>
      <c r="J88" s="3">
        <v>0.66666666666666596</v>
      </c>
    </row>
    <row r="89" spans="1:10" ht="14.4" x14ac:dyDescent="0.25">
      <c r="A89" s="8" t="s">
        <v>188</v>
      </c>
      <c r="B89" s="4" t="s">
        <v>97</v>
      </c>
      <c r="C89" s="4">
        <v>0.41325874260940598</v>
      </c>
      <c r="D89" s="3">
        <f t="shared" si="5"/>
        <v>0.67714222137202762</v>
      </c>
      <c r="E89" s="3">
        <v>0.18044432063514099</v>
      </c>
      <c r="F89" s="3">
        <f t="shared" si="6"/>
        <v>0.31387036272687197</v>
      </c>
      <c r="G89" s="3">
        <f t="shared" si="7"/>
        <v>0.68612963727312803</v>
      </c>
      <c r="H89" s="3">
        <f t="shared" si="8"/>
        <v>0.43328697895413448</v>
      </c>
      <c r="I89" s="3">
        <f t="shared" si="9"/>
        <v>0.68612963727312792</v>
      </c>
      <c r="J89" s="3">
        <v>0.83333333333333304</v>
      </c>
    </row>
    <row r="90" spans="1:10" ht="14.4" x14ac:dyDescent="0.25">
      <c r="A90" s="8" t="s">
        <v>172</v>
      </c>
      <c r="B90" s="4" t="s">
        <v>98</v>
      </c>
      <c r="C90" s="4">
        <v>0.33329282495183898</v>
      </c>
      <c r="D90" s="3">
        <f t="shared" si="5"/>
        <v>0.50343869082110293</v>
      </c>
      <c r="E90" s="3">
        <v>0.13359023763648001</v>
      </c>
      <c r="F90" s="3">
        <f t="shared" si="6"/>
        <v>0.23237093966794131</v>
      </c>
      <c r="G90" s="3">
        <f t="shared" si="7"/>
        <v>0.76762906033205869</v>
      </c>
      <c r="H90" s="3">
        <f t="shared" si="8"/>
        <v>0.45060964898426936</v>
      </c>
      <c r="I90" s="3">
        <f t="shared" si="9"/>
        <v>0.7676290603320588</v>
      </c>
      <c r="J90" s="3">
        <v>0.66666666666666596</v>
      </c>
    </row>
    <row r="91" spans="1:10" ht="14.4" x14ac:dyDescent="0.25">
      <c r="A91" s="8" t="s">
        <v>173</v>
      </c>
      <c r="B91" s="4" t="s">
        <v>99</v>
      </c>
      <c r="C91" s="4">
        <v>0.25535577566502199</v>
      </c>
      <c r="D91" s="3">
        <f t="shared" si="5"/>
        <v>0.33414230783186233</v>
      </c>
      <c r="E91" s="3">
        <v>0.325026325026325</v>
      </c>
      <c r="F91" s="3">
        <f t="shared" si="6"/>
        <v>0.5653607172157652</v>
      </c>
      <c r="G91" s="3">
        <f t="shared" si="7"/>
        <v>0.4346392827842348</v>
      </c>
      <c r="H91" s="3">
        <f t="shared" si="8"/>
        <v>0.3798328039052799</v>
      </c>
      <c r="I91" s="3">
        <f t="shared" si="9"/>
        <v>0.43463928278423486</v>
      </c>
      <c r="J91" s="3">
        <v>0.66666666666666596</v>
      </c>
    </row>
    <row r="92" spans="1:10" ht="14.4" x14ac:dyDescent="0.25">
      <c r="A92" s="8" t="s">
        <v>174</v>
      </c>
      <c r="B92" s="4" t="s">
        <v>100</v>
      </c>
      <c r="C92" s="4">
        <v>0.38435631661390302</v>
      </c>
      <c r="D92" s="3">
        <f t="shared" si="5"/>
        <v>0.61435980626357534</v>
      </c>
      <c r="E92" s="3">
        <v>0.16626997619857101</v>
      </c>
      <c r="F92" s="3">
        <f t="shared" si="6"/>
        <v>0.28921507507879163</v>
      </c>
      <c r="G92" s="3">
        <f t="shared" si="7"/>
        <v>0.71078492492120837</v>
      </c>
      <c r="H92" s="3">
        <f t="shared" si="8"/>
        <v>0.43852745055988968</v>
      </c>
      <c r="I92" s="3">
        <f t="shared" si="9"/>
        <v>0.71078492492120826</v>
      </c>
      <c r="J92" s="3">
        <v>0.66666666666666596</v>
      </c>
    </row>
    <row r="93" spans="1:10" ht="14.4" x14ac:dyDescent="0.25">
      <c r="A93" s="8" t="s">
        <v>175</v>
      </c>
      <c r="B93" s="4" t="s">
        <v>101</v>
      </c>
      <c r="C93" s="4">
        <v>0.42022457160506999</v>
      </c>
      <c r="D93" s="3">
        <f t="shared" si="5"/>
        <v>0.69227353137515046</v>
      </c>
      <c r="E93" s="3">
        <v>0.25</v>
      </c>
      <c r="F93" s="3">
        <f t="shared" si="6"/>
        <v>0.43485763589301168</v>
      </c>
      <c r="G93" s="3">
        <f t="shared" si="7"/>
        <v>0.56514236410698837</v>
      </c>
      <c r="H93" s="3">
        <f t="shared" si="8"/>
        <v>0.40757118205349419</v>
      </c>
      <c r="I93" s="3">
        <f t="shared" si="9"/>
        <v>0.56514236410698837</v>
      </c>
      <c r="J93" s="3">
        <v>0.66666666666666596</v>
      </c>
    </row>
    <row r="94" spans="1:10" ht="14.4" x14ac:dyDescent="0.25">
      <c r="A94" s="8" t="s">
        <v>189</v>
      </c>
      <c r="B94" s="4" t="s">
        <v>102</v>
      </c>
      <c r="C94" s="4">
        <v>0.47076959926607098</v>
      </c>
      <c r="D94" s="3">
        <f t="shared" si="5"/>
        <v>0.8020684291728275</v>
      </c>
      <c r="E94" s="3">
        <v>0.208735027753432</v>
      </c>
      <c r="F94" s="3">
        <f t="shared" si="6"/>
        <v>0.36308008278767845</v>
      </c>
      <c r="G94" s="3">
        <f t="shared" si="7"/>
        <v>0.63691991721232155</v>
      </c>
      <c r="H94" s="3">
        <f t="shared" si="8"/>
        <v>0.42282747248287678</v>
      </c>
      <c r="I94" s="3">
        <f t="shared" si="9"/>
        <v>0.63691991721232155</v>
      </c>
      <c r="J94" s="3">
        <v>0.91666666666666596</v>
      </c>
    </row>
    <row r="95" spans="1:10" ht="14.4" x14ac:dyDescent="0.25">
      <c r="A95" s="8" t="s">
        <v>176</v>
      </c>
      <c r="B95" s="4" t="s">
        <v>103</v>
      </c>
      <c r="C95" s="4">
        <v>0.30031024429401298</v>
      </c>
      <c r="D95" s="3">
        <f t="shared" si="5"/>
        <v>0.43179328394315319</v>
      </c>
      <c r="E95" s="3">
        <v>0.373019231673484</v>
      </c>
      <c r="F95" s="3">
        <f t="shared" si="6"/>
        <v>0.6488410449126355</v>
      </c>
      <c r="G95" s="3">
        <f t="shared" si="7"/>
        <v>0.3511589550873645</v>
      </c>
      <c r="H95" s="3">
        <f t="shared" si="8"/>
        <v>0.36208909338042428</v>
      </c>
      <c r="I95" s="3">
        <f t="shared" si="9"/>
        <v>0.35115895508736461</v>
      </c>
      <c r="J95" s="3">
        <v>0.66666666666666596</v>
      </c>
    </row>
    <row r="98" spans="3:8" x14ac:dyDescent="0.25">
      <c r="C98" s="4" t="s">
        <v>8</v>
      </c>
      <c r="D98" s="4"/>
      <c r="E98" s="4" t="s">
        <v>8</v>
      </c>
      <c r="H98" s="4" t="s">
        <v>8</v>
      </c>
    </row>
    <row r="99" spans="3:8" x14ac:dyDescent="0.25">
      <c r="C99" s="3">
        <f>MIN(C2:C95)</f>
        <v>0.101530483863261</v>
      </c>
      <c r="D99" s="3"/>
      <c r="E99" s="3">
        <f>MIN(E2:E95)</f>
        <v>0</v>
      </c>
      <c r="H99" s="3">
        <f>MIN(H2:H95)</f>
        <v>0.28745039682539653</v>
      </c>
    </row>
    <row r="100" spans="3:8" x14ac:dyDescent="0.25">
      <c r="C100" s="4" t="s">
        <v>9</v>
      </c>
      <c r="D100" s="4"/>
      <c r="E100" s="4" t="s">
        <v>9</v>
      </c>
      <c r="H100" s="4" t="s">
        <v>9</v>
      </c>
    </row>
    <row r="101" spans="3:8" x14ac:dyDescent="0.25">
      <c r="C101" s="3">
        <f>MAX(C2:C95)</f>
        <v>0.56188910411665505</v>
      </c>
      <c r="D101" s="3"/>
      <c r="E101" s="3">
        <f>MAX(E2:E95)</f>
        <v>0.57490079365079305</v>
      </c>
      <c r="F101" s="7"/>
      <c r="G101" s="7"/>
      <c r="H101" s="3">
        <f>MAX(H2:H95)</f>
        <v>0.5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4025-3F37-42A5-A62B-BB8539BA4F96}">
  <dimension ref="A1:J101"/>
  <sheetViews>
    <sheetView workbookViewId="0">
      <selection sqref="A1:XFD1"/>
    </sheetView>
  </sheetViews>
  <sheetFormatPr defaultRowHeight="13.8" x14ac:dyDescent="0.25"/>
  <cols>
    <col min="1" max="1" width="36.5546875" style="4" customWidth="1"/>
    <col min="2" max="2" width="8.88671875" style="6"/>
    <col min="3" max="3" width="8.88671875" style="4"/>
    <col min="4" max="4" width="14.21875" style="6" customWidth="1"/>
    <col min="5" max="5" width="13.109375" style="6" customWidth="1"/>
    <col min="6" max="6" width="16.77734375" style="6" customWidth="1"/>
    <col min="7" max="7" width="13.5546875" style="6" customWidth="1"/>
    <col min="8" max="8" width="18.21875" style="6" customWidth="1"/>
    <col min="9" max="9" width="14.109375" style="6" customWidth="1"/>
    <col min="10" max="16384" width="8.88671875" style="6"/>
  </cols>
  <sheetData>
    <row r="1" spans="1:10" s="4" customFormat="1" x14ac:dyDescent="0.25">
      <c r="C1" s="10" t="s">
        <v>190</v>
      </c>
      <c r="D1" s="10" t="s">
        <v>191</v>
      </c>
      <c r="E1" s="10" t="s">
        <v>192</v>
      </c>
      <c r="F1" s="10" t="s">
        <v>193</v>
      </c>
      <c r="G1" s="10" t="s">
        <v>194</v>
      </c>
      <c r="H1" s="4" t="s">
        <v>195</v>
      </c>
      <c r="I1" s="4" t="s">
        <v>196</v>
      </c>
      <c r="J1" s="10" t="s">
        <v>197</v>
      </c>
    </row>
    <row r="2" spans="1:10" x14ac:dyDescent="0.25">
      <c r="A2" s="8" t="s">
        <v>0</v>
      </c>
      <c r="B2" s="4" t="s">
        <v>7</v>
      </c>
      <c r="C2" s="4">
        <v>0.54895209700317504</v>
      </c>
      <c r="D2" s="5">
        <f>(C2-$C$99)/($C$101-$C$99)</f>
        <v>0.94308896086318827</v>
      </c>
      <c r="E2" s="5">
        <v>0.191996594295444</v>
      </c>
      <c r="F2" s="3">
        <f>(E2-$E$99)/($E$101-$E$99)</f>
        <v>0.30664320930125427</v>
      </c>
      <c r="G2" s="3">
        <f>1-F2</f>
        <v>0.69335679069874567</v>
      </c>
      <c r="H2" s="3">
        <f>(E2+G2)/2</f>
        <v>0.44267669249709485</v>
      </c>
      <c r="I2" s="3">
        <f>(H2-$H$99)/($H$101-$H$99)</f>
        <v>0.69335679069874567</v>
      </c>
      <c r="J2" s="3">
        <v>0.875</v>
      </c>
    </row>
    <row r="3" spans="1:10" ht="14.4" x14ac:dyDescent="0.25">
      <c r="A3" s="8" t="s">
        <v>177</v>
      </c>
      <c r="B3" s="4" t="s">
        <v>11</v>
      </c>
      <c r="C3" s="4">
        <v>0.406627897823645</v>
      </c>
      <c r="D3" s="5">
        <f t="shared" ref="D3:D66" si="0">(C3-$C$99)/($C$101-$C$99)</f>
        <v>0.64803256082833405</v>
      </c>
      <c r="E3" s="5">
        <v>0.25393081761006198</v>
      </c>
      <c r="F3" s="3">
        <f t="shared" ref="F3:F66" si="1">(E3-$E$99)/($E$101-$E$99)</f>
        <v>0.40556011494985456</v>
      </c>
      <c r="G3" s="3">
        <f t="shared" ref="G3:G66" si="2">1-F3</f>
        <v>0.59443988505014544</v>
      </c>
      <c r="H3" s="3">
        <f t="shared" ref="H3:H66" si="3">(E3+G3)/2</f>
        <v>0.42418535133010371</v>
      </c>
      <c r="I3" s="3">
        <f t="shared" ref="I3:I66" si="4">(H3-$H$99)/($H$101-$H$99)</f>
        <v>0.59443988505014544</v>
      </c>
      <c r="J3" s="3">
        <v>0.66666666666666596</v>
      </c>
    </row>
    <row r="4" spans="1:10" ht="14.4" x14ac:dyDescent="0.25">
      <c r="A4" s="8" t="s">
        <v>104</v>
      </c>
      <c r="B4" s="4" t="s">
        <v>12</v>
      </c>
      <c r="C4" s="4">
        <v>0.40561894824982703</v>
      </c>
      <c r="D4" s="5">
        <f t="shared" si="0"/>
        <v>0.64594087838231573</v>
      </c>
      <c r="E4" s="5">
        <v>0.29937058185653698</v>
      </c>
      <c r="F4" s="3">
        <f t="shared" si="1"/>
        <v>0.47813325193472311</v>
      </c>
      <c r="G4" s="3">
        <f t="shared" si="2"/>
        <v>0.52186674806527689</v>
      </c>
      <c r="H4" s="3">
        <f t="shared" si="3"/>
        <v>0.41061866496090693</v>
      </c>
      <c r="I4" s="3">
        <f t="shared" si="4"/>
        <v>0.52186674806527689</v>
      </c>
      <c r="J4" s="3">
        <v>0.83333333333333304</v>
      </c>
    </row>
    <row r="5" spans="1:10" ht="14.4" x14ac:dyDescent="0.25">
      <c r="A5" s="8" t="s">
        <v>105</v>
      </c>
      <c r="B5" s="4" t="s">
        <v>13</v>
      </c>
      <c r="C5" s="4">
        <v>0.38257074481305098</v>
      </c>
      <c r="D5" s="5">
        <f t="shared" si="0"/>
        <v>0.59815898343732599</v>
      </c>
      <c r="E5" s="5">
        <v>0.16698421339139899</v>
      </c>
      <c r="F5" s="3">
        <f t="shared" si="1"/>
        <v>0.26669522594859452</v>
      </c>
      <c r="G5" s="3">
        <f t="shared" si="2"/>
        <v>0.73330477405140548</v>
      </c>
      <c r="H5" s="3">
        <f t="shared" si="3"/>
        <v>0.45014449372140225</v>
      </c>
      <c r="I5" s="3">
        <f t="shared" si="4"/>
        <v>0.73330477405140559</v>
      </c>
      <c r="J5" s="3">
        <v>0.66666666666666596</v>
      </c>
    </row>
    <row r="6" spans="1:10" ht="14.4" x14ac:dyDescent="0.25">
      <c r="A6" s="8" t="s">
        <v>106</v>
      </c>
      <c r="B6" s="4" t="s">
        <v>14</v>
      </c>
      <c r="C6" s="4">
        <v>0.40004537259364298</v>
      </c>
      <c r="D6" s="5">
        <f t="shared" si="0"/>
        <v>0.63438613802251831</v>
      </c>
      <c r="E6" s="5">
        <v>0.177489177489177</v>
      </c>
      <c r="F6" s="3">
        <f t="shared" si="1"/>
        <v>0.28347300222300181</v>
      </c>
      <c r="G6" s="3">
        <f t="shared" si="2"/>
        <v>0.71652699777699813</v>
      </c>
      <c r="H6" s="3">
        <f t="shared" si="3"/>
        <v>0.44700808763308758</v>
      </c>
      <c r="I6" s="3">
        <f t="shared" si="4"/>
        <v>0.71652699777699813</v>
      </c>
      <c r="J6" s="3">
        <v>0.75</v>
      </c>
    </row>
    <row r="7" spans="1:10" ht="14.4" x14ac:dyDescent="0.25">
      <c r="A7" s="8" t="s">
        <v>107</v>
      </c>
      <c r="B7" s="4" t="s">
        <v>15</v>
      </c>
      <c r="C7" s="4">
        <v>0.45218585090969099</v>
      </c>
      <c r="D7" s="5">
        <f t="shared" si="0"/>
        <v>0.74248006664966903</v>
      </c>
      <c r="E7" s="5">
        <v>0.26105405083871902</v>
      </c>
      <c r="F7" s="3">
        <f t="shared" si="1"/>
        <v>0.4169368328851506</v>
      </c>
      <c r="G7" s="3">
        <f t="shared" si="2"/>
        <v>0.5830631671148494</v>
      </c>
      <c r="H7" s="3">
        <f t="shared" si="3"/>
        <v>0.42205860897678421</v>
      </c>
      <c r="I7" s="3">
        <f t="shared" si="4"/>
        <v>0.5830631671148494</v>
      </c>
      <c r="J7" s="3">
        <v>0.66666666666666596</v>
      </c>
    </row>
    <row r="8" spans="1:10" ht="14.4" x14ac:dyDescent="0.25">
      <c r="A8" s="8" t="s">
        <v>108</v>
      </c>
      <c r="B8" s="4" t="s">
        <v>16</v>
      </c>
      <c r="C8" s="4">
        <v>0.43440920921745901</v>
      </c>
      <c r="D8" s="5">
        <f t="shared" si="0"/>
        <v>0.70562679831823649</v>
      </c>
      <c r="E8" s="5">
        <v>0.20751599404010301</v>
      </c>
      <c r="F8" s="3">
        <f t="shared" si="1"/>
        <v>0.3314296830488474</v>
      </c>
      <c r="G8" s="3">
        <f t="shared" si="2"/>
        <v>0.66857031695115254</v>
      </c>
      <c r="H8" s="3">
        <f t="shared" si="3"/>
        <v>0.43804315549562778</v>
      </c>
      <c r="I8" s="3">
        <f t="shared" si="4"/>
        <v>0.66857031695115243</v>
      </c>
      <c r="J8" s="3">
        <v>0.8</v>
      </c>
    </row>
    <row r="9" spans="1:10" ht="14.4" x14ac:dyDescent="0.25">
      <c r="A9" s="8" t="s">
        <v>109</v>
      </c>
      <c r="B9" s="4" t="s">
        <v>17</v>
      </c>
      <c r="C9" s="4">
        <v>0.36601902423314597</v>
      </c>
      <c r="D9" s="5">
        <f t="shared" si="0"/>
        <v>0.56384513437410932</v>
      </c>
      <c r="E9" s="5">
        <v>0.195830656100521</v>
      </c>
      <c r="F9" s="3">
        <f t="shared" si="1"/>
        <v>0.3127666982145994</v>
      </c>
      <c r="G9" s="3">
        <f t="shared" si="2"/>
        <v>0.68723330178540065</v>
      </c>
      <c r="H9" s="3">
        <f t="shared" si="3"/>
        <v>0.44153197894296081</v>
      </c>
      <c r="I9" s="3">
        <f t="shared" si="4"/>
        <v>0.68723330178540065</v>
      </c>
      <c r="J9" s="3">
        <v>0.90909090909090895</v>
      </c>
    </row>
    <row r="10" spans="1:10" ht="14.4" x14ac:dyDescent="0.25">
      <c r="A10" s="8" t="s">
        <v>110</v>
      </c>
      <c r="B10" s="4" t="s">
        <v>18</v>
      </c>
      <c r="C10" s="4">
        <v>0.26284061836009598</v>
      </c>
      <c r="D10" s="5">
        <f t="shared" si="0"/>
        <v>0.34994300688112168</v>
      </c>
      <c r="E10" s="5">
        <v>0.45610505136079599</v>
      </c>
      <c r="F10" s="3">
        <f t="shared" si="1"/>
        <v>0.72845832105005603</v>
      </c>
      <c r="G10" s="3">
        <f t="shared" si="2"/>
        <v>0.27154167894994397</v>
      </c>
      <c r="H10" s="3">
        <f t="shared" si="3"/>
        <v>0.36382336515536995</v>
      </c>
      <c r="I10" s="3">
        <f t="shared" si="4"/>
        <v>0.2715416789499438</v>
      </c>
      <c r="J10" s="3">
        <v>0.66666666666666596</v>
      </c>
    </row>
    <row r="11" spans="1:10" ht="14.4" x14ac:dyDescent="0.25">
      <c r="A11" s="8" t="s">
        <v>178</v>
      </c>
      <c r="B11" s="4" t="s">
        <v>19</v>
      </c>
      <c r="C11" s="4">
        <v>0.50605521835405898</v>
      </c>
      <c r="D11" s="5">
        <f t="shared" si="0"/>
        <v>0.85415820516665042</v>
      </c>
      <c r="E11" s="5">
        <v>0.16995073891625601</v>
      </c>
      <c r="F11" s="3">
        <f t="shared" si="1"/>
        <v>0.27143314804952745</v>
      </c>
      <c r="G11" s="3">
        <f t="shared" si="2"/>
        <v>0.72856685195047255</v>
      </c>
      <c r="H11" s="3">
        <f t="shared" si="3"/>
        <v>0.44925879543336428</v>
      </c>
      <c r="I11" s="3">
        <f t="shared" si="4"/>
        <v>0.72856685195047255</v>
      </c>
      <c r="J11" s="3">
        <v>0.96551724137931005</v>
      </c>
    </row>
    <row r="12" spans="1:10" ht="14.4" x14ac:dyDescent="0.25">
      <c r="A12" s="8" t="s">
        <v>179</v>
      </c>
      <c r="B12" s="4" t="s">
        <v>20</v>
      </c>
      <c r="C12" s="4">
        <v>0.45159931946736698</v>
      </c>
      <c r="D12" s="5">
        <f t="shared" si="0"/>
        <v>0.74126411140890869</v>
      </c>
      <c r="E12" s="5">
        <v>0.19764773379231201</v>
      </c>
      <c r="F12" s="3">
        <f t="shared" si="1"/>
        <v>0.31566880456187713</v>
      </c>
      <c r="G12" s="3">
        <f t="shared" si="2"/>
        <v>0.68433119543812282</v>
      </c>
      <c r="H12" s="3">
        <f t="shared" si="3"/>
        <v>0.44098946461521743</v>
      </c>
      <c r="I12" s="3">
        <f t="shared" si="4"/>
        <v>0.68433119543812282</v>
      </c>
      <c r="J12" s="3">
        <v>0.96551724137931005</v>
      </c>
    </row>
    <row r="13" spans="1:10" ht="14.4" x14ac:dyDescent="0.25">
      <c r="A13" s="8" t="s">
        <v>111</v>
      </c>
      <c r="B13" s="4" t="s">
        <v>21</v>
      </c>
      <c r="C13" s="4">
        <v>0.27967716242850899</v>
      </c>
      <c r="D13" s="5">
        <f t="shared" si="0"/>
        <v>0.38484733172884311</v>
      </c>
      <c r="E13" s="5">
        <v>0.282525588851892</v>
      </c>
      <c r="F13" s="3">
        <f t="shared" si="1"/>
        <v>0.45122963557341927</v>
      </c>
      <c r="G13" s="3">
        <f t="shared" si="2"/>
        <v>0.54877036442658067</v>
      </c>
      <c r="H13" s="3">
        <f t="shared" si="3"/>
        <v>0.41564797663923636</v>
      </c>
      <c r="I13" s="3">
        <f t="shared" si="4"/>
        <v>0.54877036442658078</v>
      </c>
      <c r="J13" s="3">
        <v>0.66666666666666596</v>
      </c>
    </row>
    <row r="14" spans="1:10" ht="14.4" x14ac:dyDescent="0.25">
      <c r="A14" s="8" t="s">
        <v>112</v>
      </c>
      <c r="B14" s="4" t="s">
        <v>22</v>
      </c>
      <c r="C14" s="4">
        <v>0.40552929325724302</v>
      </c>
      <c r="D14" s="5">
        <f t="shared" si="0"/>
        <v>0.64575501203274566</v>
      </c>
      <c r="E14" s="5">
        <v>0.190644932671863</v>
      </c>
      <c r="F14" s="3">
        <f t="shared" si="1"/>
        <v>0.30448443216426807</v>
      </c>
      <c r="G14" s="3">
        <f t="shared" si="2"/>
        <v>0.69551556783573187</v>
      </c>
      <c r="H14" s="3">
        <f t="shared" si="3"/>
        <v>0.44308025025379744</v>
      </c>
      <c r="I14" s="3">
        <f t="shared" si="4"/>
        <v>0.69551556783573176</v>
      </c>
      <c r="J14" s="3">
        <v>0.66666666666666596</v>
      </c>
    </row>
    <row r="15" spans="1:10" ht="14.4" x14ac:dyDescent="0.25">
      <c r="A15" s="8" t="s">
        <v>113</v>
      </c>
      <c r="B15" s="4" t="s">
        <v>23</v>
      </c>
      <c r="C15" s="4">
        <v>0.43178863111417698</v>
      </c>
      <c r="D15" s="5">
        <f t="shared" si="0"/>
        <v>0.70019400231009443</v>
      </c>
      <c r="E15" s="5">
        <v>0.238401963039644</v>
      </c>
      <c r="F15" s="3">
        <f t="shared" si="1"/>
        <v>0.3807585406317292</v>
      </c>
      <c r="G15" s="3">
        <f t="shared" si="2"/>
        <v>0.6192414593682708</v>
      </c>
      <c r="H15" s="3">
        <f t="shared" si="3"/>
        <v>0.4288217112039574</v>
      </c>
      <c r="I15" s="3">
        <f t="shared" si="4"/>
        <v>0.6192414593682708</v>
      </c>
      <c r="J15" s="3">
        <v>0.66666666666666596</v>
      </c>
    </row>
    <row r="16" spans="1:10" ht="14.4" x14ac:dyDescent="0.25">
      <c r="A16" s="8" t="s">
        <v>114</v>
      </c>
      <c r="B16" s="4" t="s">
        <v>24</v>
      </c>
      <c r="C16" s="4">
        <v>0.38302927522261598</v>
      </c>
      <c r="D16" s="5">
        <f t="shared" si="0"/>
        <v>0.59910957604724535</v>
      </c>
      <c r="E16" s="5">
        <v>0.20576851074307201</v>
      </c>
      <c r="F16" s="3">
        <f t="shared" si="1"/>
        <v>0.32863872788441695</v>
      </c>
      <c r="G16" s="3">
        <f t="shared" si="2"/>
        <v>0.67136127211558305</v>
      </c>
      <c r="H16" s="3">
        <f t="shared" si="3"/>
        <v>0.43856489142932753</v>
      </c>
      <c r="I16" s="3">
        <f t="shared" si="4"/>
        <v>0.67136127211558305</v>
      </c>
      <c r="J16" s="3">
        <v>0.98113207547169801</v>
      </c>
    </row>
    <row r="17" spans="1:10" ht="14.4" x14ac:dyDescent="0.25">
      <c r="A17" s="8" t="s">
        <v>115</v>
      </c>
      <c r="B17" s="4" t="s">
        <v>25</v>
      </c>
      <c r="C17" s="4">
        <v>0.39944998578350099</v>
      </c>
      <c r="D17" s="5">
        <f t="shared" si="0"/>
        <v>0.63315182446346474</v>
      </c>
      <c r="E17" s="5">
        <v>0.157965194109772</v>
      </c>
      <c r="F17" s="3">
        <f t="shared" si="1"/>
        <v>0.25229069430876627</v>
      </c>
      <c r="G17" s="3">
        <f t="shared" si="2"/>
        <v>0.74770930569123373</v>
      </c>
      <c r="H17" s="3">
        <f t="shared" si="3"/>
        <v>0.45283724990050289</v>
      </c>
      <c r="I17" s="3">
        <f t="shared" si="4"/>
        <v>0.74770930569123384</v>
      </c>
      <c r="J17" s="3">
        <v>0.75</v>
      </c>
    </row>
    <row r="18" spans="1:10" ht="14.4" x14ac:dyDescent="0.25">
      <c r="A18" s="8" t="s">
        <v>116</v>
      </c>
      <c r="B18" s="4" t="s">
        <v>26</v>
      </c>
      <c r="C18" s="4">
        <v>0.39854473961449599</v>
      </c>
      <c r="D18" s="5">
        <f t="shared" si="0"/>
        <v>0.6312751325353757</v>
      </c>
      <c r="E18" s="5">
        <v>0.20855849277055599</v>
      </c>
      <c r="F18" s="3">
        <f t="shared" si="1"/>
        <v>0.33309468735567727</v>
      </c>
      <c r="G18" s="3">
        <f t="shared" si="2"/>
        <v>0.66690531264432273</v>
      </c>
      <c r="H18" s="3">
        <f t="shared" si="3"/>
        <v>0.43773190270743934</v>
      </c>
      <c r="I18" s="3">
        <f t="shared" si="4"/>
        <v>0.66690531264432262</v>
      </c>
      <c r="J18" s="3">
        <v>0.875</v>
      </c>
    </row>
    <row r="19" spans="1:10" ht="14.4" x14ac:dyDescent="0.25">
      <c r="A19" s="8" t="s">
        <v>117</v>
      </c>
      <c r="B19" s="4" t="s">
        <v>27</v>
      </c>
      <c r="C19" s="4">
        <v>0.48684890628038502</v>
      </c>
      <c r="D19" s="5">
        <f t="shared" si="0"/>
        <v>0.81434104595498447</v>
      </c>
      <c r="E19" s="5">
        <v>0.289842554634752</v>
      </c>
      <c r="F19" s="3">
        <f t="shared" si="1"/>
        <v>0.46291576926884859</v>
      </c>
      <c r="G19" s="3">
        <f t="shared" si="2"/>
        <v>0.53708423073115141</v>
      </c>
      <c r="H19" s="3">
        <f t="shared" si="3"/>
        <v>0.41346339268295174</v>
      </c>
      <c r="I19" s="3">
        <f t="shared" si="4"/>
        <v>0.53708423073115164</v>
      </c>
      <c r="J19" s="3">
        <v>0.66666666666666596</v>
      </c>
    </row>
    <row r="20" spans="1:10" ht="14.4" x14ac:dyDescent="0.25">
      <c r="A20" s="8" t="s">
        <v>118</v>
      </c>
      <c r="B20" s="4" t="s">
        <v>28</v>
      </c>
      <c r="C20" s="4">
        <v>0.39902386248578697</v>
      </c>
      <c r="D20" s="5">
        <f t="shared" si="0"/>
        <v>0.63226841597130889</v>
      </c>
      <c r="E20" s="5">
        <v>0.179081703426272</v>
      </c>
      <c r="F20" s="3">
        <f t="shared" si="1"/>
        <v>0.28601647059043983</v>
      </c>
      <c r="G20" s="3">
        <f t="shared" si="2"/>
        <v>0.71398352940956022</v>
      </c>
      <c r="H20" s="3">
        <f t="shared" si="3"/>
        <v>0.44653261641791608</v>
      </c>
      <c r="I20" s="3">
        <f t="shared" si="4"/>
        <v>0.71398352940956022</v>
      </c>
      <c r="J20" s="3">
        <v>0.66666666666666596</v>
      </c>
    </row>
    <row r="21" spans="1:10" ht="14.4" x14ac:dyDescent="0.25">
      <c r="A21" s="8" t="s">
        <v>119</v>
      </c>
      <c r="B21" s="4" t="s">
        <v>29</v>
      </c>
      <c r="C21" s="4">
        <v>0.41736078714699698</v>
      </c>
      <c r="D21" s="5">
        <f t="shared" si="0"/>
        <v>0.67028322307675525</v>
      </c>
      <c r="E21" s="5">
        <v>0.249610713173466</v>
      </c>
      <c r="F21" s="3">
        <f t="shared" si="1"/>
        <v>0.39866035355660878</v>
      </c>
      <c r="G21" s="3">
        <f t="shared" si="2"/>
        <v>0.60133964644339122</v>
      </c>
      <c r="H21" s="3">
        <f t="shared" si="3"/>
        <v>0.42547517980842864</v>
      </c>
      <c r="I21" s="3">
        <f t="shared" si="4"/>
        <v>0.60133964644339144</v>
      </c>
      <c r="J21" s="3">
        <v>0.90673575129533601</v>
      </c>
    </row>
    <row r="22" spans="1:10" ht="14.4" x14ac:dyDescent="0.25">
      <c r="A22" s="8" t="s">
        <v>120</v>
      </c>
      <c r="B22" s="4" t="s">
        <v>30</v>
      </c>
      <c r="C22" s="4">
        <v>0.40272454335326502</v>
      </c>
      <c r="D22" s="5">
        <f t="shared" si="0"/>
        <v>0.63994040415554299</v>
      </c>
      <c r="E22" s="5">
        <v>0.27407540463699998</v>
      </c>
      <c r="F22" s="3">
        <f t="shared" si="1"/>
        <v>0.43773360656129023</v>
      </c>
      <c r="G22" s="3">
        <f t="shared" si="2"/>
        <v>0.56226639343870977</v>
      </c>
      <c r="H22" s="3">
        <f t="shared" si="3"/>
        <v>0.41817089903785487</v>
      </c>
      <c r="I22" s="3">
        <f t="shared" si="4"/>
        <v>0.56226639343870977</v>
      </c>
      <c r="J22" s="3">
        <v>0.93103448275862</v>
      </c>
    </row>
    <row r="23" spans="1:10" ht="14.4" x14ac:dyDescent="0.25">
      <c r="A23" s="8" t="s">
        <v>121</v>
      </c>
      <c r="B23" s="4" t="s">
        <v>31</v>
      </c>
      <c r="C23" s="4">
        <v>0.40005511206220201</v>
      </c>
      <c r="D23" s="5">
        <f t="shared" si="0"/>
        <v>0.63440632919554329</v>
      </c>
      <c r="E23" s="5">
        <v>0.28618693134822099</v>
      </c>
      <c r="F23" s="3">
        <f t="shared" si="1"/>
        <v>0.45707726957726907</v>
      </c>
      <c r="G23" s="3">
        <f t="shared" si="2"/>
        <v>0.54292273042273087</v>
      </c>
      <c r="H23" s="3">
        <f t="shared" si="3"/>
        <v>0.41455483088547596</v>
      </c>
      <c r="I23" s="3">
        <f t="shared" si="4"/>
        <v>0.54292273042273087</v>
      </c>
      <c r="J23" s="3">
        <v>0.875</v>
      </c>
    </row>
    <row r="24" spans="1:10" ht="14.4" x14ac:dyDescent="0.25">
      <c r="A24" s="8" t="s">
        <v>122</v>
      </c>
      <c r="B24" s="4" t="s">
        <v>32</v>
      </c>
      <c r="C24" s="4">
        <v>0.32316796772683798</v>
      </c>
      <c r="D24" s="5">
        <f t="shared" si="0"/>
        <v>0.47500937388272113</v>
      </c>
      <c r="E24" s="5">
        <v>0.22334455667788999</v>
      </c>
      <c r="F24" s="3">
        <f t="shared" si="1"/>
        <v>0.3567099296265967</v>
      </c>
      <c r="G24" s="3">
        <f t="shared" si="2"/>
        <v>0.64329007037340324</v>
      </c>
      <c r="H24" s="3">
        <f t="shared" si="3"/>
        <v>0.43331731352564662</v>
      </c>
      <c r="I24" s="3">
        <f t="shared" si="4"/>
        <v>0.64329007037340324</v>
      </c>
      <c r="J24" s="3">
        <v>0.66666666666666596</v>
      </c>
    </row>
    <row r="25" spans="1:10" ht="14.4" x14ac:dyDescent="0.25">
      <c r="A25" s="8" t="s">
        <v>123</v>
      </c>
      <c r="B25" s="4" t="s">
        <v>33</v>
      </c>
      <c r="C25" s="4">
        <v>0.38527949108731202</v>
      </c>
      <c r="D25" s="5">
        <f t="shared" si="0"/>
        <v>0.60377456342230884</v>
      </c>
      <c r="E25" s="5">
        <v>0.18283973262777101</v>
      </c>
      <c r="F25" s="3">
        <f t="shared" si="1"/>
        <v>0.29201852567492859</v>
      </c>
      <c r="G25" s="3">
        <f t="shared" si="2"/>
        <v>0.70798147432507141</v>
      </c>
      <c r="H25" s="3">
        <f t="shared" si="3"/>
        <v>0.4454106034764212</v>
      </c>
      <c r="I25" s="3">
        <f t="shared" si="4"/>
        <v>0.7079814743250713</v>
      </c>
      <c r="J25" s="3">
        <v>0.86956521739130399</v>
      </c>
    </row>
    <row r="26" spans="1:10" ht="14.4" x14ac:dyDescent="0.25">
      <c r="A26" s="8" t="s">
        <v>124</v>
      </c>
      <c r="B26" s="4" t="s">
        <v>34</v>
      </c>
      <c r="C26" s="4">
        <v>0.39383253308578597</v>
      </c>
      <c r="D26" s="5">
        <f t="shared" si="0"/>
        <v>0.6215061213440457</v>
      </c>
      <c r="E26" s="5">
        <v>0.17383820998278801</v>
      </c>
      <c r="F26" s="3">
        <f t="shared" si="1"/>
        <v>0.27764193841001061</v>
      </c>
      <c r="G26" s="3">
        <f t="shared" si="2"/>
        <v>0.72235806158998939</v>
      </c>
      <c r="H26" s="3">
        <f t="shared" si="3"/>
        <v>0.44809813578638868</v>
      </c>
      <c r="I26" s="3">
        <f t="shared" si="4"/>
        <v>0.72235806158998928</v>
      </c>
      <c r="J26" s="3">
        <v>0.66666666666666596</v>
      </c>
    </row>
    <row r="27" spans="1:10" ht="14.4" x14ac:dyDescent="0.25">
      <c r="A27" s="8" t="s">
        <v>1</v>
      </c>
      <c r="B27" s="4" t="s">
        <v>35</v>
      </c>
      <c r="C27" s="4">
        <v>0.18026157365436801</v>
      </c>
      <c r="D27" s="5">
        <f t="shared" si="0"/>
        <v>0.17874600883264233</v>
      </c>
      <c r="E27" s="5">
        <v>2.04081632653061E-2</v>
      </c>
      <c r="F27" s="3">
        <f t="shared" si="1"/>
        <v>3.2594456701599564E-2</v>
      </c>
      <c r="G27" s="3">
        <f t="shared" si="2"/>
        <v>0.96740554329840045</v>
      </c>
      <c r="H27" s="3">
        <f t="shared" si="3"/>
        <v>0.4939068532818533</v>
      </c>
      <c r="I27" s="3">
        <f t="shared" si="4"/>
        <v>0.96740554329840056</v>
      </c>
      <c r="J27" s="3">
        <v>0.74074074074074003</v>
      </c>
    </row>
    <row r="28" spans="1:10" ht="14.4" x14ac:dyDescent="0.25">
      <c r="A28" s="8" t="s">
        <v>125</v>
      </c>
      <c r="B28" s="4" t="s">
        <v>36</v>
      </c>
      <c r="C28" s="4">
        <v>0.40574360167770501</v>
      </c>
      <c r="D28" s="5">
        <f t="shared" si="0"/>
        <v>0.64619930099697798</v>
      </c>
      <c r="E28" s="5">
        <v>0.248832866479925</v>
      </c>
      <c r="F28" s="3">
        <f t="shared" si="1"/>
        <v>0.39741803252832669</v>
      </c>
      <c r="G28" s="3">
        <f t="shared" si="2"/>
        <v>0.60258196747167325</v>
      </c>
      <c r="H28" s="3">
        <f t="shared" si="3"/>
        <v>0.42570741697579911</v>
      </c>
      <c r="I28" s="3">
        <f t="shared" si="4"/>
        <v>0.60258196747167303</v>
      </c>
      <c r="J28" s="3">
        <v>0.66666666666666596</v>
      </c>
    </row>
    <row r="29" spans="1:10" ht="14.4" x14ac:dyDescent="0.25">
      <c r="A29" s="8" t="s">
        <v>126</v>
      </c>
      <c r="B29" s="4" t="s">
        <v>37</v>
      </c>
      <c r="C29" s="4">
        <v>0.36229825490776202</v>
      </c>
      <c r="D29" s="5">
        <f t="shared" si="0"/>
        <v>0.5561315002287095</v>
      </c>
      <c r="E29" s="5">
        <v>0.21581670362158101</v>
      </c>
      <c r="F29" s="3">
        <f t="shared" si="1"/>
        <v>0.34468698188210323</v>
      </c>
      <c r="G29" s="3">
        <f t="shared" si="2"/>
        <v>0.65531301811789677</v>
      </c>
      <c r="H29" s="3">
        <f t="shared" si="3"/>
        <v>0.43556486086973889</v>
      </c>
      <c r="I29" s="3">
        <f t="shared" si="4"/>
        <v>0.65531301811789677</v>
      </c>
      <c r="J29" s="3">
        <v>0.66666666666666596</v>
      </c>
    </row>
    <row r="30" spans="1:10" ht="14.4" x14ac:dyDescent="0.25">
      <c r="A30" s="8" t="s">
        <v>180</v>
      </c>
      <c r="B30" s="4" t="s">
        <v>38</v>
      </c>
      <c r="C30" s="4">
        <v>0.38265186797065798</v>
      </c>
      <c r="D30" s="5">
        <f t="shared" si="0"/>
        <v>0.59832716219386195</v>
      </c>
      <c r="E30" s="5">
        <v>0.23106060606060599</v>
      </c>
      <c r="F30" s="3">
        <f t="shared" si="1"/>
        <v>0.36903345106470142</v>
      </c>
      <c r="G30" s="3">
        <f t="shared" si="2"/>
        <v>0.63096654893529858</v>
      </c>
      <c r="H30" s="3">
        <f t="shared" si="3"/>
        <v>0.43101357749795227</v>
      </c>
      <c r="I30" s="3">
        <f t="shared" si="4"/>
        <v>0.63096654893529847</v>
      </c>
      <c r="J30" s="3">
        <v>0.90909090909090895</v>
      </c>
    </row>
    <row r="31" spans="1:10" ht="14.4" x14ac:dyDescent="0.25">
      <c r="A31" s="8" t="s">
        <v>127</v>
      </c>
      <c r="B31" s="4" t="s">
        <v>39</v>
      </c>
      <c r="C31" s="4">
        <v>0.38845331630001501</v>
      </c>
      <c r="D31" s="5">
        <f t="shared" si="0"/>
        <v>0.61035431196119749</v>
      </c>
      <c r="E31" s="5">
        <v>0.27393703343070402</v>
      </c>
      <c r="F31" s="3">
        <f t="shared" si="1"/>
        <v>0.43751260998096453</v>
      </c>
      <c r="G31" s="3">
        <f t="shared" si="2"/>
        <v>0.56248739001903547</v>
      </c>
      <c r="H31" s="3">
        <f t="shared" si="3"/>
        <v>0.41821221172486978</v>
      </c>
      <c r="I31" s="3">
        <f t="shared" si="4"/>
        <v>0.56248739001903558</v>
      </c>
      <c r="J31" s="3">
        <v>0.97142857142857097</v>
      </c>
    </row>
    <row r="32" spans="1:10" ht="14.4" x14ac:dyDescent="0.25">
      <c r="A32" s="8" t="s">
        <v>128</v>
      </c>
      <c r="B32" s="4" t="s">
        <v>40</v>
      </c>
      <c r="C32" s="4">
        <v>0.36402085550305002</v>
      </c>
      <c r="D32" s="5">
        <f t="shared" si="0"/>
        <v>0.55970267317943478</v>
      </c>
      <c r="E32" s="5">
        <v>0.185924705358649</v>
      </c>
      <c r="F32" s="3">
        <f t="shared" si="1"/>
        <v>0.29694562316993722</v>
      </c>
      <c r="G32" s="3">
        <f t="shared" si="2"/>
        <v>0.70305437683006278</v>
      </c>
      <c r="H32" s="3">
        <f t="shared" si="3"/>
        <v>0.4444895410943559</v>
      </c>
      <c r="I32" s="3">
        <f t="shared" si="4"/>
        <v>0.70305437683006289</v>
      </c>
      <c r="J32" s="3">
        <v>0.66666666666666596</v>
      </c>
    </row>
    <row r="33" spans="1:10" ht="14.4" x14ac:dyDescent="0.25">
      <c r="A33" s="8" t="s">
        <v>129</v>
      </c>
      <c r="B33" s="4" t="s">
        <v>41</v>
      </c>
      <c r="C33" s="4">
        <v>0.36694290661316398</v>
      </c>
      <c r="D33" s="5">
        <f t="shared" si="0"/>
        <v>0.56576046156846704</v>
      </c>
      <c r="E33" s="5">
        <v>0.201914426571665</v>
      </c>
      <c r="F33" s="3">
        <f t="shared" si="1"/>
        <v>0.32248326068160388</v>
      </c>
      <c r="G33" s="3">
        <f t="shared" si="2"/>
        <v>0.67751673931839607</v>
      </c>
      <c r="H33" s="3">
        <f t="shared" si="3"/>
        <v>0.43971558294503055</v>
      </c>
      <c r="I33" s="3">
        <f t="shared" si="4"/>
        <v>0.67751673931839607</v>
      </c>
      <c r="J33" s="3">
        <v>0.66666666666666596</v>
      </c>
    </row>
    <row r="34" spans="1:10" ht="14.4" x14ac:dyDescent="0.25">
      <c r="A34" s="8" t="s">
        <v>130</v>
      </c>
      <c r="B34" s="4" t="s">
        <v>42</v>
      </c>
      <c r="C34" s="4">
        <v>0.32629913705163299</v>
      </c>
      <c r="D34" s="5">
        <f t="shared" si="0"/>
        <v>0.48150069127076556</v>
      </c>
      <c r="E34" s="5">
        <v>0.18347338935574201</v>
      </c>
      <c r="F34" s="3">
        <f t="shared" si="1"/>
        <v>0.29303055681732143</v>
      </c>
      <c r="G34" s="3">
        <f t="shared" si="2"/>
        <v>0.70696944318267851</v>
      </c>
      <c r="H34" s="3">
        <f t="shared" si="3"/>
        <v>0.44522141626921025</v>
      </c>
      <c r="I34" s="3">
        <f t="shared" si="4"/>
        <v>0.7069694431826784</v>
      </c>
      <c r="J34" s="3">
        <v>0.66666666666666596</v>
      </c>
    </row>
    <row r="35" spans="1:10" ht="14.4" x14ac:dyDescent="0.25">
      <c r="A35" s="8" t="s">
        <v>131</v>
      </c>
      <c r="B35" s="4" t="s">
        <v>43</v>
      </c>
      <c r="C35" s="4">
        <v>0.46162924906069802</v>
      </c>
      <c r="D35" s="5">
        <f t="shared" si="0"/>
        <v>0.76205744757711913</v>
      </c>
      <c r="E35" s="5">
        <v>0.32049158894796398</v>
      </c>
      <c r="F35" s="3">
        <f t="shared" si="1"/>
        <v>0.51186621174037217</v>
      </c>
      <c r="G35" s="3">
        <f t="shared" si="2"/>
        <v>0.48813378825962783</v>
      </c>
      <c r="H35" s="3">
        <f t="shared" si="3"/>
        <v>0.40431268860379588</v>
      </c>
      <c r="I35" s="3">
        <f t="shared" si="4"/>
        <v>0.48813378825962772</v>
      </c>
      <c r="J35" s="3">
        <v>0.8</v>
      </c>
    </row>
    <row r="36" spans="1:10" ht="14.4" x14ac:dyDescent="0.25">
      <c r="A36" s="8" t="s">
        <v>132</v>
      </c>
      <c r="B36" s="4" t="s">
        <v>44</v>
      </c>
      <c r="C36" s="4">
        <v>0.57640385900076196</v>
      </c>
      <c r="D36" s="5">
        <f t="shared" si="0"/>
        <v>1</v>
      </c>
      <c r="E36" s="5">
        <v>2.6315789473684199E-2</v>
      </c>
      <c r="F36" s="3">
        <f t="shared" si="1"/>
        <v>4.20296941678521E-2</v>
      </c>
      <c r="G36" s="3">
        <f t="shared" si="2"/>
        <v>0.95797030583214793</v>
      </c>
      <c r="H36" s="3">
        <f t="shared" si="3"/>
        <v>0.49214304765291605</v>
      </c>
      <c r="I36" s="3">
        <f t="shared" si="4"/>
        <v>0.95797030583214793</v>
      </c>
      <c r="J36" s="3">
        <v>0.98080438756855504</v>
      </c>
    </row>
    <row r="37" spans="1:10" ht="14.4" x14ac:dyDescent="0.25">
      <c r="A37" s="8" t="s">
        <v>2</v>
      </c>
      <c r="B37" s="4" t="s">
        <v>45</v>
      </c>
      <c r="C37" s="4">
        <v>0.36617929068507399</v>
      </c>
      <c r="D37" s="5">
        <f t="shared" si="0"/>
        <v>0.56417738737553036</v>
      </c>
      <c r="E37" s="5">
        <v>0.24183006535947699</v>
      </c>
      <c r="F37" s="3">
        <f t="shared" si="1"/>
        <v>0.38623366013071925</v>
      </c>
      <c r="G37" s="3">
        <f t="shared" si="2"/>
        <v>0.61376633986928075</v>
      </c>
      <c r="H37" s="3">
        <f t="shared" si="3"/>
        <v>0.42779820261437884</v>
      </c>
      <c r="I37" s="3">
        <f t="shared" si="4"/>
        <v>0.61376633986928053</v>
      </c>
      <c r="J37" s="3">
        <v>0.66666666666666596</v>
      </c>
    </row>
    <row r="38" spans="1:10" ht="14.4" x14ac:dyDescent="0.25">
      <c r="A38" s="8" t="s">
        <v>133</v>
      </c>
      <c r="B38" s="4" t="s">
        <v>46</v>
      </c>
      <c r="C38" s="4">
        <v>0.40606026343354601</v>
      </c>
      <c r="D38" s="5">
        <f t="shared" si="0"/>
        <v>0.6468557816112781</v>
      </c>
      <c r="E38" s="5">
        <v>0.182255702029713</v>
      </c>
      <c r="F38" s="3">
        <f t="shared" si="1"/>
        <v>0.29108575383292884</v>
      </c>
      <c r="G38" s="3">
        <f t="shared" si="2"/>
        <v>0.70891424616707122</v>
      </c>
      <c r="H38" s="3">
        <f t="shared" si="3"/>
        <v>0.44558497409839209</v>
      </c>
      <c r="I38" s="3">
        <f t="shared" si="4"/>
        <v>0.70891424616707122</v>
      </c>
      <c r="J38" s="3">
        <v>0.83333333333333304</v>
      </c>
    </row>
    <row r="39" spans="1:10" ht="14.4" x14ac:dyDescent="0.25">
      <c r="A39" s="8" t="s">
        <v>134</v>
      </c>
      <c r="B39" s="4" t="s">
        <v>47</v>
      </c>
      <c r="C39" s="4">
        <v>0.37622461080490999</v>
      </c>
      <c r="D39" s="5">
        <f t="shared" si="0"/>
        <v>0.58500263008789399</v>
      </c>
      <c r="E39" s="5">
        <v>0</v>
      </c>
      <c r="F39" s="3">
        <f t="shared" si="1"/>
        <v>0</v>
      </c>
      <c r="G39" s="3">
        <f t="shared" si="2"/>
        <v>1</v>
      </c>
      <c r="H39" s="3">
        <f t="shared" si="3"/>
        <v>0.5</v>
      </c>
      <c r="I39" s="3">
        <f t="shared" si="4"/>
        <v>1</v>
      </c>
      <c r="J39" s="3">
        <v>0.66666666666666596</v>
      </c>
    </row>
    <row r="40" spans="1:10" ht="14.4" x14ac:dyDescent="0.25">
      <c r="A40" s="8" t="s">
        <v>135</v>
      </c>
      <c r="B40" s="4" t="s">
        <v>48</v>
      </c>
      <c r="C40" s="4">
        <v>0.43160954301208798</v>
      </c>
      <c r="D40" s="5">
        <f t="shared" si="0"/>
        <v>0.6998227296031615</v>
      </c>
      <c r="E40" s="5">
        <v>0.27471278366419</v>
      </c>
      <c r="F40" s="3">
        <f t="shared" si="1"/>
        <v>0.43875158269339859</v>
      </c>
      <c r="G40" s="3">
        <f t="shared" si="2"/>
        <v>0.56124841730660147</v>
      </c>
      <c r="H40" s="3">
        <f t="shared" si="3"/>
        <v>0.41798060048539576</v>
      </c>
      <c r="I40" s="3">
        <f t="shared" si="4"/>
        <v>0.56124841730660169</v>
      </c>
      <c r="J40" s="3">
        <v>0.8125</v>
      </c>
    </row>
    <row r="41" spans="1:10" ht="14.4" x14ac:dyDescent="0.25">
      <c r="A41" s="8" t="s">
        <v>181</v>
      </c>
      <c r="B41" s="4" t="s">
        <v>49</v>
      </c>
      <c r="C41" s="4">
        <v>0.20456771201379101</v>
      </c>
      <c r="D41" s="5">
        <f t="shared" si="0"/>
        <v>0.22913576492769649</v>
      </c>
      <c r="E41" s="5">
        <v>0.62612374405076598</v>
      </c>
      <c r="F41" s="3">
        <f t="shared" si="1"/>
        <v>1</v>
      </c>
      <c r="G41" s="3">
        <f t="shared" si="2"/>
        <v>0</v>
      </c>
      <c r="H41" s="3">
        <f t="shared" si="3"/>
        <v>0.31306187202538299</v>
      </c>
      <c r="I41" s="3">
        <f t="shared" si="4"/>
        <v>0</v>
      </c>
      <c r="J41" s="3">
        <v>0.66666666666666596</v>
      </c>
    </row>
    <row r="42" spans="1:10" ht="14.4" x14ac:dyDescent="0.25">
      <c r="A42" s="8" t="s">
        <v>182</v>
      </c>
      <c r="B42" s="4" t="s">
        <v>50</v>
      </c>
      <c r="C42" s="4">
        <v>0.33197706558161599</v>
      </c>
      <c r="D42" s="5">
        <f t="shared" si="0"/>
        <v>0.49327176858136901</v>
      </c>
      <c r="E42" s="5">
        <v>0.21758290798972599</v>
      </c>
      <c r="F42" s="3">
        <f t="shared" si="1"/>
        <v>0.34750783700048343</v>
      </c>
      <c r="G42" s="3">
        <f t="shared" si="2"/>
        <v>0.65249216299951662</v>
      </c>
      <c r="H42" s="3">
        <f t="shared" si="3"/>
        <v>0.43503753549462132</v>
      </c>
      <c r="I42" s="3">
        <f t="shared" si="4"/>
        <v>0.65249216299951673</v>
      </c>
      <c r="J42" s="3">
        <v>0.8</v>
      </c>
    </row>
    <row r="43" spans="1:10" ht="14.4" x14ac:dyDescent="0.25">
      <c r="A43" s="8" t="s">
        <v>3</v>
      </c>
      <c r="B43" s="4" t="s">
        <v>51</v>
      </c>
      <c r="C43" s="4">
        <v>0.45293361034062801</v>
      </c>
      <c r="D43" s="5">
        <f t="shared" si="0"/>
        <v>0.74403026828126984</v>
      </c>
      <c r="E43" s="5">
        <v>0.28226204175571201</v>
      </c>
      <c r="F43" s="3">
        <f t="shared" si="1"/>
        <v>0.45080871702707104</v>
      </c>
      <c r="G43" s="3">
        <f t="shared" si="2"/>
        <v>0.54919128297292896</v>
      </c>
      <c r="H43" s="3">
        <f t="shared" si="3"/>
        <v>0.41572666236432049</v>
      </c>
      <c r="I43" s="3">
        <f t="shared" si="4"/>
        <v>0.54919128297292896</v>
      </c>
      <c r="J43" s="3">
        <v>0.94117647058823495</v>
      </c>
    </row>
    <row r="44" spans="1:10" ht="14.4" x14ac:dyDescent="0.25">
      <c r="A44" s="8" t="s">
        <v>136</v>
      </c>
      <c r="B44" s="4" t="s">
        <v>52</v>
      </c>
      <c r="C44" s="4">
        <v>0.383781239366703</v>
      </c>
      <c r="D44" s="5">
        <f t="shared" si="0"/>
        <v>0.60066849459088489</v>
      </c>
      <c r="E44" s="5">
        <v>0.25918385087277601</v>
      </c>
      <c r="F44" s="3">
        <f t="shared" si="1"/>
        <v>0.41394988344630074</v>
      </c>
      <c r="G44" s="3">
        <f t="shared" si="2"/>
        <v>0.58605011655369932</v>
      </c>
      <c r="H44" s="3">
        <f t="shared" si="3"/>
        <v>0.42261698371323764</v>
      </c>
      <c r="I44" s="3">
        <f t="shared" si="4"/>
        <v>0.58605011655369921</v>
      </c>
      <c r="J44" s="3">
        <v>0.90476190476190399</v>
      </c>
    </row>
    <row r="45" spans="1:10" ht="14.4" x14ac:dyDescent="0.25">
      <c r="A45" s="8" t="s">
        <v>137</v>
      </c>
      <c r="B45" s="4" t="s">
        <v>53</v>
      </c>
      <c r="C45" s="4">
        <v>0.38240324090524302</v>
      </c>
      <c r="D45" s="5">
        <f t="shared" si="0"/>
        <v>0.59781172625748935</v>
      </c>
      <c r="E45" s="5">
        <v>0.25019534302234703</v>
      </c>
      <c r="F45" s="3">
        <f t="shared" si="1"/>
        <v>0.39959408247910377</v>
      </c>
      <c r="G45" s="3">
        <f t="shared" si="2"/>
        <v>0.60040591752089623</v>
      </c>
      <c r="H45" s="3">
        <f t="shared" si="3"/>
        <v>0.42530063027162163</v>
      </c>
      <c r="I45" s="3">
        <f t="shared" si="4"/>
        <v>0.60040591752089623</v>
      </c>
      <c r="J45" s="3">
        <v>0.97058823529411697</v>
      </c>
    </row>
    <row r="46" spans="1:10" ht="14.4" x14ac:dyDescent="0.25">
      <c r="A46" s="8" t="s">
        <v>183</v>
      </c>
      <c r="B46" s="4" t="s">
        <v>54</v>
      </c>
      <c r="C46" s="4">
        <v>0.40486557515277</v>
      </c>
      <c r="D46" s="5">
        <f t="shared" si="0"/>
        <v>0.64437903889765891</v>
      </c>
      <c r="E46" s="5">
        <v>0.20598786104293501</v>
      </c>
      <c r="F46" s="3">
        <f t="shared" si="1"/>
        <v>0.32898905847313398</v>
      </c>
      <c r="G46" s="3">
        <f t="shared" si="2"/>
        <v>0.67101094152686602</v>
      </c>
      <c r="H46" s="3">
        <f t="shared" si="3"/>
        <v>0.4384994012849005</v>
      </c>
      <c r="I46" s="3">
        <f t="shared" si="4"/>
        <v>0.67101094152686591</v>
      </c>
      <c r="J46" s="3">
        <v>0.66666666666666596</v>
      </c>
    </row>
    <row r="47" spans="1:10" ht="14.4" x14ac:dyDescent="0.25">
      <c r="A47" s="8" t="s">
        <v>138</v>
      </c>
      <c r="B47" s="4" t="s">
        <v>55</v>
      </c>
      <c r="C47" s="4">
        <v>0.40619024754435101</v>
      </c>
      <c r="D47" s="5">
        <f t="shared" si="0"/>
        <v>0.64712525541838162</v>
      </c>
      <c r="E47" s="5">
        <v>0.246214768227346</v>
      </c>
      <c r="F47" s="3">
        <f t="shared" si="1"/>
        <v>0.39323659351174989</v>
      </c>
      <c r="G47" s="3">
        <f t="shared" si="2"/>
        <v>0.60676340648825011</v>
      </c>
      <c r="H47" s="3">
        <f t="shared" si="3"/>
        <v>0.42648908735779806</v>
      </c>
      <c r="I47" s="3">
        <f t="shared" si="4"/>
        <v>0.60676340648825011</v>
      </c>
      <c r="J47" s="3">
        <v>0.9</v>
      </c>
    </row>
    <row r="48" spans="1:10" ht="14.4" x14ac:dyDescent="0.25">
      <c r="A48" s="8" t="s">
        <v>139</v>
      </c>
      <c r="B48" s="4" t="s">
        <v>56</v>
      </c>
      <c r="C48" s="4">
        <v>0.337714033164704</v>
      </c>
      <c r="D48" s="5">
        <f t="shared" si="0"/>
        <v>0.50516524145485675</v>
      </c>
      <c r="E48" s="5">
        <v>0.21116173376227601</v>
      </c>
      <c r="F48" s="3">
        <f t="shared" si="1"/>
        <v>0.33725239741931118</v>
      </c>
      <c r="G48" s="3">
        <f t="shared" si="2"/>
        <v>0.66274760258068888</v>
      </c>
      <c r="H48" s="3">
        <f t="shared" si="3"/>
        <v>0.43695466817148243</v>
      </c>
      <c r="I48" s="3">
        <f t="shared" si="4"/>
        <v>0.66274760258068888</v>
      </c>
      <c r="J48" s="3">
        <v>0.85714285714285698</v>
      </c>
    </row>
    <row r="49" spans="1:10" ht="14.4" x14ac:dyDescent="0.25">
      <c r="A49" s="8" t="s">
        <v>140</v>
      </c>
      <c r="B49" s="4" t="s">
        <v>57</v>
      </c>
      <c r="C49" s="4">
        <v>0.36760031354107903</v>
      </c>
      <c r="D49" s="5">
        <f t="shared" si="0"/>
        <v>0.567123350821502</v>
      </c>
      <c r="E49" s="5">
        <v>0.27087872185911399</v>
      </c>
      <c r="F49" s="3">
        <f t="shared" si="1"/>
        <v>0.43262809378005507</v>
      </c>
      <c r="G49" s="3">
        <f t="shared" si="2"/>
        <v>0.56737190621994493</v>
      </c>
      <c r="H49" s="3">
        <f t="shared" si="3"/>
        <v>0.41912531403952946</v>
      </c>
      <c r="I49" s="3">
        <f t="shared" si="4"/>
        <v>0.56737190621994493</v>
      </c>
      <c r="J49" s="3">
        <v>0.66666666666666596</v>
      </c>
    </row>
    <row r="50" spans="1:10" ht="14.4" x14ac:dyDescent="0.25">
      <c r="A50" s="8" t="s">
        <v>141</v>
      </c>
      <c r="B50" s="4" t="s">
        <v>58</v>
      </c>
      <c r="C50" s="4">
        <v>0.32324179883882898</v>
      </c>
      <c r="D50" s="5">
        <f t="shared" si="0"/>
        <v>0.47516243528928598</v>
      </c>
      <c r="E50" s="5">
        <v>0.23897199846566899</v>
      </c>
      <c r="F50" s="3">
        <f t="shared" si="1"/>
        <v>0.38166896038731474</v>
      </c>
      <c r="G50" s="3">
        <f t="shared" si="2"/>
        <v>0.61833103961268532</v>
      </c>
      <c r="H50" s="3">
        <f t="shared" si="3"/>
        <v>0.42865151903917714</v>
      </c>
      <c r="I50" s="3">
        <f t="shared" si="4"/>
        <v>0.61833103961268532</v>
      </c>
      <c r="J50" s="3">
        <v>0.66666666666666596</v>
      </c>
    </row>
    <row r="51" spans="1:10" ht="14.4" x14ac:dyDescent="0.25">
      <c r="A51" s="8" t="s">
        <v>142</v>
      </c>
      <c r="B51" s="4" t="s">
        <v>59</v>
      </c>
      <c r="C51" s="4">
        <v>0.43167558196436601</v>
      </c>
      <c r="D51" s="5">
        <f t="shared" si="0"/>
        <v>0.69995963685880425</v>
      </c>
      <c r="E51" s="5">
        <v>0.225177969276882</v>
      </c>
      <c r="F51" s="3">
        <f t="shared" si="1"/>
        <v>0.35963812491772329</v>
      </c>
      <c r="G51" s="3">
        <f t="shared" si="2"/>
        <v>0.64036187508227671</v>
      </c>
      <c r="H51" s="3">
        <f t="shared" si="3"/>
        <v>0.43276992217957932</v>
      </c>
      <c r="I51" s="3">
        <f t="shared" si="4"/>
        <v>0.6403618750822766</v>
      </c>
      <c r="J51" s="3">
        <v>0.66666666666666596</v>
      </c>
    </row>
    <row r="52" spans="1:10" ht="14.4" x14ac:dyDescent="0.25">
      <c r="A52" s="8" t="s">
        <v>143</v>
      </c>
      <c r="B52" s="4" t="s">
        <v>60</v>
      </c>
      <c r="C52" s="4">
        <v>0.39320662762695502</v>
      </c>
      <c r="D52" s="5">
        <f t="shared" si="0"/>
        <v>0.62020853869464765</v>
      </c>
      <c r="E52" s="5">
        <v>0.19489228135254599</v>
      </c>
      <c r="F52" s="3">
        <f t="shared" si="1"/>
        <v>0.31126799327505483</v>
      </c>
      <c r="G52" s="3">
        <f t="shared" si="2"/>
        <v>0.68873200672494517</v>
      </c>
      <c r="H52" s="3">
        <f t="shared" si="3"/>
        <v>0.44181214403874558</v>
      </c>
      <c r="I52" s="3">
        <f t="shared" si="4"/>
        <v>0.68873200672494517</v>
      </c>
      <c r="J52" s="3">
        <v>0.8</v>
      </c>
    </row>
    <row r="53" spans="1:10" ht="14.4" x14ac:dyDescent="0.25">
      <c r="A53" s="8" t="s">
        <v>144</v>
      </c>
      <c r="B53" s="4" t="s">
        <v>61</v>
      </c>
      <c r="C53" s="4">
        <v>0.333189911111682</v>
      </c>
      <c r="D53" s="5">
        <f t="shared" si="0"/>
        <v>0.49578615361190226</v>
      </c>
      <c r="E53" s="5">
        <v>0.20941720675719899</v>
      </c>
      <c r="F53" s="3">
        <f t="shared" si="1"/>
        <v>0.33446616383265526</v>
      </c>
      <c r="G53" s="3">
        <f t="shared" si="2"/>
        <v>0.66553383616734474</v>
      </c>
      <c r="H53" s="3">
        <f t="shared" si="3"/>
        <v>0.43747552146227187</v>
      </c>
      <c r="I53" s="3">
        <f t="shared" si="4"/>
        <v>0.66553383616734474</v>
      </c>
      <c r="J53" s="3">
        <v>0.66666666666666596</v>
      </c>
    </row>
    <row r="54" spans="1:10" ht="14.4" x14ac:dyDescent="0.25">
      <c r="A54" s="8" t="s">
        <v>145</v>
      </c>
      <c r="B54" s="4" t="s">
        <v>62</v>
      </c>
      <c r="C54" s="4">
        <v>0.31142695710702301</v>
      </c>
      <c r="D54" s="5">
        <f t="shared" si="0"/>
        <v>0.45066874631394255</v>
      </c>
      <c r="E54" s="5">
        <v>0.265822784810126</v>
      </c>
      <c r="F54" s="3">
        <f t="shared" si="1"/>
        <v>0.4245531132398217</v>
      </c>
      <c r="G54" s="3">
        <f t="shared" si="2"/>
        <v>0.5754468867601783</v>
      </c>
      <c r="H54" s="3">
        <f t="shared" si="3"/>
        <v>0.42063483578515215</v>
      </c>
      <c r="I54" s="3">
        <f t="shared" si="4"/>
        <v>0.5754468867601783</v>
      </c>
      <c r="J54" s="3">
        <v>8.6685794518039094E-2</v>
      </c>
    </row>
    <row r="55" spans="1:10" ht="14.4" x14ac:dyDescent="0.25">
      <c r="A55" s="8" t="s">
        <v>146</v>
      </c>
      <c r="B55" s="4" t="s">
        <v>63</v>
      </c>
      <c r="C55" s="4">
        <v>0.430599268910278</v>
      </c>
      <c r="D55" s="5">
        <f t="shared" si="0"/>
        <v>0.69772830123998142</v>
      </c>
      <c r="E55" s="5">
        <v>0.25786163522012501</v>
      </c>
      <c r="F55" s="3">
        <f t="shared" si="1"/>
        <v>0.4118381353051157</v>
      </c>
      <c r="G55" s="3">
        <f t="shared" si="2"/>
        <v>0.5881618646948843</v>
      </c>
      <c r="H55" s="3">
        <f t="shared" si="3"/>
        <v>0.42301174995750468</v>
      </c>
      <c r="I55" s="3">
        <f t="shared" si="4"/>
        <v>0.58816186469488452</v>
      </c>
      <c r="J55" s="3">
        <v>0.84848484848484795</v>
      </c>
    </row>
    <row r="56" spans="1:10" ht="14.4" x14ac:dyDescent="0.25">
      <c r="A56" s="8" t="s">
        <v>147</v>
      </c>
      <c r="B56" s="4" t="s">
        <v>64</v>
      </c>
      <c r="C56" s="4">
        <v>0.406249337170351</v>
      </c>
      <c r="D56" s="5">
        <f t="shared" si="0"/>
        <v>0.64724775582539229</v>
      </c>
      <c r="E56" s="5">
        <v>0.179081703426272</v>
      </c>
      <c r="F56" s="3">
        <f t="shared" si="1"/>
        <v>0.28601647059043983</v>
      </c>
      <c r="G56" s="3">
        <f t="shared" si="2"/>
        <v>0.71398352940956022</v>
      </c>
      <c r="H56" s="3">
        <f t="shared" si="3"/>
        <v>0.44653261641791608</v>
      </c>
      <c r="I56" s="3">
        <f t="shared" si="4"/>
        <v>0.71398352940956022</v>
      </c>
      <c r="J56" s="3">
        <v>0.75</v>
      </c>
    </row>
    <row r="57" spans="1:10" ht="14.4" x14ac:dyDescent="0.25">
      <c r="A57" s="8" t="s">
        <v>148</v>
      </c>
      <c r="B57" s="4" t="s">
        <v>65</v>
      </c>
      <c r="C57" s="4">
        <v>0.412781841522535</v>
      </c>
      <c r="D57" s="5">
        <f t="shared" si="0"/>
        <v>0.66079047890747411</v>
      </c>
      <c r="E57" s="5">
        <v>0.22559200394810699</v>
      </c>
      <c r="F57" s="3">
        <f t="shared" si="1"/>
        <v>0.36029939144076933</v>
      </c>
      <c r="G57" s="3">
        <f t="shared" si="2"/>
        <v>0.63970060855923072</v>
      </c>
      <c r="H57" s="3">
        <f t="shared" si="3"/>
        <v>0.43264630625366884</v>
      </c>
      <c r="I57" s="3">
        <f t="shared" si="4"/>
        <v>0.63970060855923072</v>
      </c>
      <c r="J57" s="3">
        <v>0.96153846153846101</v>
      </c>
    </row>
    <row r="58" spans="1:10" ht="14.4" x14ac:dyDescent="0.25">
      <c r="A58" s="8" t="s">
        <v>149</v>
      </c>
      <c r="B58" s="4" t="s">
        <v>66</v>
      </c>
      <c r="C58" s="4">
        <v>0.36237437799946198</v>
      </c>
      <c r="D58" s="5">
        <f t="shared" si="0"/>
        <v>0.55628931320447894</v>
      </c>
      <c r="E58" s="5">
        <v>0.27901274926446501</v>
      </c>
      <c r="F58" s="3">
        <f t="shared" si="1"/>
        <v>0.44561917977964866</v>
      </c>
      <c r="G58" s="3">
        <f t="shared" si="2"/>
        <v>0.55438082022035129</v>
      </c>
      <c r="H58" s="3">
        <f t="shared" si="3"/>
        <v>0.41669678474240812</v>
      </c>
      <c r="I58" s="3">
        <f t="shared" si="4"/>
        <v>0.55438082022035107</v>
      </c>
      <c r="J58" s="3">
        <v>0.66666666666666596</v>
      </c>
    </row>
    <row r="59" spans="1:10" ht="14.4" x14ac:dyDescent="0.25">
      <c r="A59" s="8" t="s">
        <v>150</v>
      </c>
      <c r="B59" s="4" t="s">
        <v>67</v>
      </c>
      <c r="C59" s="4">
        <v>0.39369718546749999</v>
      </c>
      <c r="D59" s="5">
        <f t="shared" si="0"/>
        <v>0.62122552829497202</v>
      </c>
      <c r="E59" s="5">
        <v>0.17204982204011701</v>
      </c>
      <c r="F59" s="3">
        <f t="shared" si="1"/>
        <v>0.27478565327522103</v>
      </c>
      <c r="G59" s="3">
        <f t="shared" si="2"/>
        <v>0.72521434672477891</v>
      </c>
      <c r="H59" s="3">
        <f t="shared" si="3"/>
        <v>0.44863208438244795</v>
      </c>
      <c r="I59" s="3">
        <f t="shared" si="4"/>
        <v>0.72521434672477869</v>
      </c>
      <c r="J59" s="3">
        <v>0.90476190476190399</v>
      </c>
    </row>
    <row r="60" spans="1:10" ht="14.4" x14ac:dyDescent="0.25">
      <c r="A60" s="8" t="s">
        <v>151</v>
      </c>
      <c r="B60" s="4" t="s">
        <v>68</v>
      </c>
      <c r="C60" s="4">
        <v>0.31532460968265902</v>
      </c>
      <c r="D60" s="5">
        <f t="shared" si="0"/>
        <v>0.45874908222437388</v>
      </c>
      <c r="E60" s="5">
        <v>0.22773321281964301</v>
      </c>
      <c r="F60" s="3">
        <f t="shared" si="1"/>
        <v>0.36371917689353506</v>
      </c>
      <c r="G60" s="3">
        <f t="shared" si="2"/>
        <v>0.63628082310646494</v>
      </c>
      <c r="H60" s="3">
        <f t="shared" si="3"/>
        <v>0.43200701796305396</v>
      </c>
      <c r="I60" s="3">
        <f t="shared" si="4"/>
        <v>0.63628082310646483</v>
      </c>
      <c r="J60" s="3">
        <v>0.66666666666666596</v>
      </c>
    </row>
    <row r="61" spans="1:10" ht="14.4" x14ac:dyDescent="0.25">
      <c r="A61" s="8" t="s">
        <v>152</v>
      </c>
      <c r="B61" s="4" t="s">
        <v>69</v>
      </c>
      <c r="C61" s="4">
        <v>0.38286846880879999</v>
      </c>
      <c r="D61" s="5">
        <f t="shared" si="0"/>
        <v>0.59877620363526918</v>
      </c>
      <c r="E61" s="5">
        <v>0.209705596596655</v>
      </c>
      <c r="F61" s="3">
        <f t="shared" si="1"/>
        <v>0.3349267594292864</v>
      </c>
      <c r="G61" s="3">
        <f t="shared" si="2"/>
        <v>0.6650732405707136</v>
      </c>
      <c r="H61" s="3">
        <f t="shared" si="3"/>
        <v>0.4373894185836843</v>
      </c>
      <c r="I61" s="3">
        <f t="shared" si="4"/>
        <v>0.6650732405707136</v>
      </c>
      <c r="J61" s="3">
        <v>0.84482758620689602</v>
      </c>
    </row>
    <row r="62" spans="1:10" ht="14.4" x14ac:dyDescent="0.25">
      <c r="A62" s="8" t="s">
        <v>4</v>
      </c>
      <c r="B62" s="4" t="s">
        <v>70</v>
      </c>
      <c r="C62" s="4">
        <v>0.40458551677967403</v>
      </c>
      <c r="D62" s="5">
        <f t="shared" si="0"/>
        <v>0.64379844181127666</v>
      </c>
      <c r="E62" s="5">
        <v>0.13124340906911999</v>
      </c>
      <c r="F62" s="3">
        <f t="shared" si="1"/>
        <v>0.20961257309941403</v>
      </c>
      <c r="G62" s="3">
        <f t="shared" si="2"/>
        <v>0.79038742690058594</v>
      </c>
      <c r="H62" s="3">
        <f t="shared" si="3"/>
        <v>0.46081541798485298</v>
      </c>
      <c r="I62" s="3">
        <f t="shared" si="4"/>
        <v>0.79038742690058594</v>
      </c>
      <c r="J62" s="3">
        <v>0.66666666666666596</v>
      </c>
    </row>
    <row r="63" spans="1:10" ht="14.4" x14ac:dyDescent="0.25">
      <c r="A63" s="8" t="s">
        <v>153</v>
      </c>
      <c r="B63" s="4" t="s">
        <v>71</v>
      </c>
      <c r="C63" s="4">
        <v>0.34364774244129598</v>
      </c>
      <c r="D63" s="5">
        <f t="shared" si="0"/>
        <v>0.51746658520453204</v>
      </c>
      <c r="E63" s="5">
        <v>0.15389731311519</v>
      </c>
      <c r="F63" s="3">
        <f t="shared" si="1"/>
        <v>0.24579376613245327</v>
      </c>
      <c r="G63" s="3">
        <f t="shared" si="2"/>
        <v>0.7542062338675467</v>
      </c>
      <c r="H63" s="3">
        <f t="shared" si="3"/>
        <v>0.45405177349136838</v>
      </c>
      <c r="I63" s="3">
        <f t="shared" si="4"/>
        <v>0.75420623386754682</v>
      </c>
      <c r="J63" s="3">
        <v>0.83333333333333304</v>
      </c>
    </row>
    <row r="64" spans="1:10" ht="14.4" x14ac:dyDescent="0.25">
      <c r="A64" s="8" t="s">
        <v>154</v>
      </c>
      <c r="B64" s="4" t="s">
        <v>72</v>
      </c>
      <c r="C64" s="4">
        <v>0.291986405776896</v>
      </c>
      <c r="D64" s="5">
        <f t="shared" si="0"/>
        <v>0.410365978947414</v>
      </c>
      <c r="E64" s="5">
        <v>0.263955342902711</v>
      </c>
      <c r="F64" s="3">
        <f t="shared" si="1"/>
        <v>0.42157056877451615</v>
      </c>
      <c r="G64" s="3">
        <f t="shared" si="2"/>
        <v>0.57842943122548385</v>
      </c>
      <c r="H64" s="3">
        <f t="shared" si="3"/>
        <v>0.42119238706409745</v>
      </c>
      <c r="I64" s="3">
        <f t="shared" si="4"/>
        <v>0.57842943122548407</v>
      </c>
      <c r="J64" s="3">
        <v>0.66666666666666596</v>
      </c>
    </row>
    <row r="65" spans="1:10" ht="14.4" x14ac:dyDescent="0.25">
      <c r="A65" s="8" t="s">
        <v>184</v>
      </c>
      <c r="B65" s="4" t="s">
        <v>73</v>
      </c>
      <c r="C65" s="4">
        <v>0.28562584354092502</v>
      </c>
      <c r="D65" s="5">
        <f t="shared" si="0"/>
        <v>0.3971797140229516</v>
      </c>
      <c r="E65" s="5">
        <v>0.33852627809114499</v>
      </c>
      <c r="F65" s="3">
        <f t="shared" si="1"/>
        <v>0.5406699255661791</v>
      </c>
      <c r="G65" s="3">
        <f t="shared" si="2"/>
        <v>0.4593300744338209</v>
      </c>
      <c r="H65" s="3">
        <f t="shared" si="3"/>
        <v>0.39892817626248295</v>
      </c>
      <c r="I65" s="3">
        <f t="shared" si="4"/>
        <v>0.45933007443382085</v>
      </c>
      <c r="J65" s="3">
        <v>0.66666666666666596</v>
      </c>
    </row>
    <row r="66" spans="1:10" ht="14.4" x14ac:dyDescent="0.25">
      <c r="A66" s="8" t="s">
        <v>108</v>
      </c>
      <c r="B66" s="4" t="s">
        <v>74</v>
      </c>
      <c r="C66" s="4">
        <v>0.25388054301312601</v>
      </c>
      <c r="D66" s="5">
        <f t="shared" si="0"/>
        <v>0.33136761639125029</v>
      </c>
      <c r="E66" s="5">
        <v>0.48180670654739</v>
      </c>
      <c r="F66" s="3">
        <f t="shared" si="1"/>
        <v>0.76950716391986118</v>
      </c>
      <c r="G66" s="3">
        <f t="shared" si="2"/>
        <v>0.23049283608013882</v>
      </c>
      <c r="H66" s="3">
        <f t="shared" si="3"/>
        <v>0.35614977131376441</v>
      </c>
      <c r="I66" s="3">
        <f t="shared" si="4"/>
        <v>0.23049283608013885</v>
      </c>
      <c r="J66" s="3">
        <v>0.66666666666666596</v>
      </c>
    </row>
    <row r="67" spans="1:10" ht="14.4" x14ac:dyDescent="0.25">
      <c r="A67" s="8" t="s">
        <v>155</v>
      </c>
      <c r="B67" s="4" t="s">
        <v>75</v>
      </c>
      <c r="C67" s="4">
        <v>0.42432244616690201</v>
      </c>
      <c r="D67" s="5">
        <f t="shared" ref="D67:D95" si="5">(C67-$C$99)/($C$101-$C$99)</f>
        <v>0.68471563907153843</v>
      </c>
      <c r="E67" s="5">
        <v>0.20173222663298401</v>
      </c>
      <c r="F67" s="3">
        <f t="shared" ref="F67:F95" si="6">(E67-$E$99)/($E$101-$E$99)</f>
        <v>0.3221922639889977</v>
      </c>
      <c r="G67" s="3">
        <f t="shared" ref="G67:G95" si="7">1-F67</f>
        <v>0.6778077360110023</v>
      </c>
      <c r="H67" s="3">
        <f t="shared" ref="H67:H95" si="8">(E67+G67)/2</f>
        <v>0.43976998132199319</v>
      </c>
      <c r="I67" s="3">
        <f t="shared" ref="I67:I95" si="9">(H67-$H$99)/($H$101-$H$99)</f>
        <v>0.67780773601100242</v>
      </c>
      <c r="J67" s="3">
        <v>0.66666666666666596</v>
      </c>
    </row>
    <row r="68" spans="1:10" ht="14.4" x14ac:dyDescent="0.25">
      <c r="A68" s="8" t="s">
        <v>185</v>
      </c>
      <c r="B68" s="4" t="s">
        <v>76</v>
      </c>
      <c r="C68" s="4">
        <v>9.4041167790818295E-2</v>
      </c>
      <c r="D68" s="5">
        <f t="shared" si="5"/>
        <v>0</v>
      </c>
      <c r="E68" s="5">
        <v>9.8901098901098897E-2</v>
      </c>
      <c r="F68" s="3">
        <f t="shared" si="6"/>
        <v>0.15795775170775189</v>
      </c>
      <c r="G68" s="3">
        <f t="shared" si="7"/>
        <v>0.84204224829224805</v>
      </c>
      <c r="H68" s="3">
        <f t="shared" si="8"/>
        <v>0.47047167359667347</v>
      </c>
      <c r="I68" s="3">
        <f t="shared" si="9"/>
        <v>0.84204224829224794</v>
      </c>
      <c r="J68" s="3">
        <v>7.0349165786175796E-2</v>
      </c>
    </row>
    <row r="69" spans="1:10" ht="14.4" x14ac:dyDescent="0.25">
      <c r="A69" s="8" t="s">
        <v>5</v>
      </c>
      <c r="B69" s="4" t="s">
        <v>77</v>
      </c>
      <c r="C69" s="4">
        <v>0.21542804401972901</v>
      </c>
      <c r="D69" s="5">
        <f t="shared" si="5"/>
        <v>0.25165063227511986</v>
      </c>
      <c r="E69" s="5">
        <v>5.8201058201058198E-2</v>
      </c>
      <c r="F69" s="3">
        <f t="shared" si="6"/>
        <v>9.2954561704561817E-2</v>
      </c>
      <c r="G69" s="3">
        <f t="shared" si="7"/>
        <v>0.90704543829543816</v>
      </c>
      <c r="H69" s="3">
        <f t="shared" si="8"/>
        <v>0.4826232482482482</v>
      </c>
      <c r="I69" s="3">
        <f t="shared" si="9"/>
        <v>0.90704543829543827</v>
      </c>
      <c r="J69" s="3">
        <v>0.13927576601671299</v>
      </c>
    </row>
    <row r="70" spans="1:10" ht="14.4" x14ac:dyDescent="0.25">
      <c r="A70" s="8" t="s">
        <v>156</v>
      </c>
      <c r="B70" s="4" t="s">
        <v>78</v>
      </c>
      <c r="C70" s="4">
        <v>0.36745071442322602</v>
      </c>
      <c r="D70" s="5">
        <f t="shared" si="5"/>
        <v>0.56681321257785433</v>
      </c>
      <c r="E70" s="5">
        <v>0.24269005847953201</v>
      </c>
      <c r="F70" s="3">
        <f t="shared" si="6"/>
        <v>0.38760717954796925</v>
      </c>
      <c r="G70" s="3">
        <f t="shared" si="7"/>
        <v>0.61239282045203081</v>
      </c>
      <c r="H70" s="3">
        <f t="shared" si="8"/>
        <v>0.42754143946578138</v>
      </c>
      <c r="I70" s="3">
        <f t="shared" si="9"/>
        <v>0.61239282045203081</v>
      </c>
      <c r="J70" s="3">
        <v>0.66666666666666596</v>
      </c>
    </row>
    <row r="71" spans="1:10" ht="14.4" x14ac:dyDescent="0.25">
      <c r="A71" s="8" t="s">
        <v>157</v>
      </c>
      <c r="B71" s="4" t="s">
        <v>79</v>
      </c>
      <c r="C71" s="4">
        <v>9.4041167790818295E-2</v>
      </c>
      <c r="D71" s="5">
        <f t="shared" si="5"/>
        <v>0</v>
      </c>
      <c r="E71" s="5">
        <v>0.38888888888888801</v>
      </c>
      <c r="F71" s="3">
        <f t="shared" si="6"/>
        <v>0.62110548048047987</v>
      </c>
      <c r="G71" s="3">
        <f t="shared" si="7"/>
        <v>0.37889451951952013</v>
      </c>
      <c r="H71" s="3">
        <f t="shared" si="8"/>
        <v>0.38389170420420404</v>
      </c>
      <c r="I71" s="3">
        <f t="shared" si="9"/>
        <v>0.37889451951951997</v>
      </c>
      <c r="J71" s="3">
        <v>0.93109646494907095</v>
      </c>
    </row>
    <row r="72" spans="1:10" ht="14.4" x14ac:dyDescent="0.25">
      <c r="A72" s="8" t="s">
        <v>158</v>
      </c>
      <c r="B72" s="4" t="s">
        <v>80</v>
      </c>
      <c r="C72" s="4">
        <v>0.357454230898894</v>
      </c>
      <c r="D72" s="5">
        <f t="shared" si="5"/>
        <v>0.5460892144194206</v>
      </c>
      <c r="E72" s="5">
        <v>0.16341991341991299</v>
      </c>
      <c r="F72" s="3">
        <f t="shared" si="6"/>
        <v>0.26100258131508097</v>
      </c>
      <c r="G72" s="3">
        <f t="shared" si="7"/>
        <v>0.73899741868491908</v>
      </c>
      <c r="H72" s="3">
        <f t="shared" si="8"/>
        <v>0.45120866605241605</v>
      </c>
      <c r="I72" s="3">
        <f t="shared" si="9"/>
        <v>0.73899741868491919</v>
      </c>
      <c r="J72" s="3">
        <v>0.8</v>
      </c>
    </row>
    <row r="73" spans="1:10" ht="14.4" x14ac:dyDescent="0.25">
      <c r="A73" s="8" t="s">
        <v>159</v>
      </c>
      <c r="B73" s="4" t="s">
        <v>81</v>
      </c>
      <c r="C73" s="4">
        <v>0.14176763018336</v>
      </c>
      <c r="D73" s="5">
        <f t="shared" si="5"/>
        <v>9.8943104975275184E-2</v>
      </c>
      <c r="E73" s="5">
        <v>0</v>
      </c>
      <c r="F73" s="3">
        <f t="shared" si="6"/>
        <v>0</v>
      </c>
      <c r="G73" s="3">
        <f t="shared" si="7"/>
        <v>1</v>
      </c>
      <c r="H73" s="3">
        <f t="shared" si="8"/>
        <v>0.5</v>
      </c>
      <c r="I73" s="3">
        <f t="shared" si="9"/>
        <v>1</v>
      </c>
      <c r="J73" s="3">
        <v>1.4925373134328301E-2</v>
      </c>
    </row>
    <row r="74" spans="1:10" ht="14.4" x14ac:dyDescent="0.25">
      <c r="A74" s="8" t="s">
        <v>160</v>
      </c>
      <c r="B74" s="4" t="s">
        <v>82</v>
      </c>
      <c r="C74" s="4">
        <v>0.399876504069413</v>
      </c>
      <c r="D74" s="5">
        <f t="shared" si="5"/>
        <v>0.63403605181704004</v>
      </c>
      <c r="E74" s="5">
        <v>0.21608634582686401</v>
      </c>
      <c r="F74" s="3">
        <f t="shared" si="6"/>
        <v>0.34511763510016924</v>
      </c>
      <c r="G74" s="3">
        <f t="shared" si="7"/>
        <v>0.65488236489983076</v>
      </c>
      <c r="H74" s="3">
        <f t="shared" si="8"/>
        <v>0.4354843553633474</v>
      </c>
      <c r="I74" s="3">
        <f t="shared" si="9"/>
        <v>0.65488236489983076</v>
      </c>
      <c r="J74" s="3">
        <v>0.66666666666666596</v>
      </c>
    </row>
    <row r="75" spans="1:10" ht="14.4" x14ac:dyDescent="0.25">
      <c r="A75" s="8" t="s">
        <v>186</v>
      </c>
      <c r="B75" s="4" t="s">
        <v>83</v>
      </c>
      <c r="C75" s="4">
        <v>0.33979830213722001</v>
      </c>
      <c r="D75" s="5">
        <f t="shared" si="5"/>
        <v>0.50948619954406527</v>
      </c>
      <c r="E75" s="5">
        <v>0.217166111727709</v>
      </c>
      <c r="F75" s="3">
        <f t="shared" si="6"/>
        <v>0.34684215986241407</v>
      </c>
      <c r="G75" s="3">
        <f t="shared" si="7"/>
        <v>0.65315784013758593</v>
      </c>
      <c r="H75" s="3">
        <f t="shared" si="8"/>
        <v>0.43516197593264749</v>
      </c>
      <c r="I75" s="3">
        <f t="shared" si="9"/>
        <v>0.65315784013758604</v>
      </c>
      <c r="J75" s="3">
        <v>0.66666666666666596</v>
      </c>
    </row>
    <row r="76" spans="1:10" ht="14.4" x14ac:dyDescent="0.25">
      <c r="A76" s="8" t="s">
        <v>161</v>
      </c>
      <c r="B76" s="4" t="s">
        <v>84</v>
      </c>
      <c r="C76" s="4">
        <v>0.383125027800167</v>
      </c>
      <c r="D76" s="5">
        <f t="shared" si="5"/>
        <v>0.59930808347598297</v>
      </c>
      <c r="E76" s="5">
        <v>0.22699386503067401</v>
      </c>
      <c r="F76" s="3">
        <f t="shared" si="6"/>
        <v>0.36253834355828135</v>
      </c>
      <c r="G76" s="3">
        <f t="shared" si="7"/>
        <v>0.63746165644171859</v>
      </c>
      <c r="H76" s="3">
        <f t="shared" si="8"/>
        <v>0.43222776073619629</v>
      </c>
      <c r="I76" s="3">
        <f t="shared" si="9"/>
        <v>0.63746165644171837</v>
      </c>
      <c r="J76" s="3">
        <v>0.66666666666666596</v>
      </c>
    </row>
    <row r="77" spans="1:10" ht="14.4" x14ac:dyDescent="0.25">
      <c r="A77" s="8" t="s">
        <v>162</v>
      </c>
      <c r="B77" s="4" t="s">
        <v>85</v>
      </c>
      <c r="C77" s="4">
        <v>0.41240952200277098</v>
      </c>
      <c r="D77" s="5">
        <f t="shared" si="5"/>
        <v>0.66001861257836369</v>
      </c>
      <c r="E77" s="5">
        <v>0.28725165562913901</v>
      </c>
      <c r="F77" s="3">
        <f t="shared" si="6"/>
        <v>0.45877777094147176</v>
      </c>
      <c r="G77" s="3">
        <f t="shared" si="7"/>
        <v>0.54122222905852824</v>
      </c>
      <c r="H77" s="3">
        <f t="shared" si="8"/>
        <v>0.41423694234383363</v>
      </c>
      <c r="I77" s="3">
        <f t="shared" si="9"/>
        <v>0.54122222905852824</v>
      </c>
      <c r="J77" s="3">
        <v>0.89285714285714202</v>
      </c>
    </row>
    <row r="78" spans="1:10" ht="14.4" x14ac:dyDescent="0.25">
      <c r="A78" s="8" t="s">
        <v>187</v>
      </c>
      <c r="B78" s="4" t="s">
        <v>86</v>
      </c>
      <c r="C78" s="4">
        <v>0.45906704452987501</v>
      </c>
      <c r="D78" s="5">
        <f t="shared" si="5"/>
        <v>0.75674566750475059</v>
      </c>
      <c r="E78" s="5">
        <v>0.277968316184876</v>
      </c>
      <c r="F78" s="3">
        <f t="shared" si="6"/>
        <v>0.44395108606891992</v>
      </c>
      <c r="G78" s="3">
        <f t="shared" si="7"/>
        <v>0.55604891393108002</v>
      </c>
      <c r="H78" s="3">
        <f t="shared" si="8"/>
        <v>0.41700861505797804</v>
      </c>
      <c r="I78" s="3">
        <f t="shared" si="9"/>
        <v>0.55604891393108014</v>
      </c>
      <c r="J78" s="3">
        <v>0.75</v>
      </c>
    </row>
    <row r="79" spans="1:10" ht="14.4" x14ac:dyDescent="0.25">
      <c r="A79" s="8" t="s">
        <v>163</v>
      </c>
      <c r="B79" s="4" t="s">
        <v>87</v>
      </c>
      <c r="C79" s="4">
        <v>0.34380501497803601</v>
      </c>
      <c r="D79" s="5">
        <f t="shared" si="5"/>
        <v>0.51779263143407261</v>
      </c>
      <c r="E79" s="5">
        <v>0.130845898287758</v>
      </c>
      <c r="F79" s="3">
        <f t="shared" si="6"/>
        <v>0.20897769734978944</v>
      </c>
      <c r="G79" s="3">
        <f t="shared" si="7"/>
        <v>0.79102230265021056</v>
      </c>
      <c r="H79" s="3">
        <f t="shared" si="8"/>
        <v>0.46093410046898431</v>
      </c>
      <c r="I79" s="3">
        <f t="shared" si="9"/>
        <v>0.79102230265021067</v>
      </c>
      <c r="J79" s="3">
        <v>0.66666666666666596</v>
      </c>
    </row>
    <row r="80" spans="1:10" ht="14.4" x14ac:dyDescent="0.25">
      <c r="A80" s="8" t="s">
        <v>164</v>
      </c>
      <c r="B80" s="4" t="s">
        <v>88</v>
      </c>
      <c r="C80" s="4">
        <v>0.365530357019685</v>
      </c>
      <c r="D80" s="5">
        <f t="shared" si="5"/>
        <v>0.56283206428729304</v>
      </c>
      <c r="E80" s="5">
        <v>0.28336966805149899</v>
      </c>
      <c r="F80" s="3">
        <f t="shared" si="6"/>
        <v>0.45257773841671056</v>
      </c>
      <c r="G80" s="3">
        <f t="shared" si="7"/>
        <v>0.54742226158328944</v>
      </c>
      <c r="H80" s="3">
        <f t="shared" si="8"/>
        <v>0.41539596481739421</v>
      </c>
      <c r="I80" s="3">
        <f t="shared" si="9"/>
        <v>0.54742226158328944</v>
      </c>
      <c r="J80" s="3">
        <v>0.94444444444444398</v>
      </c>
    </row>
    <row r="81" spans="1:10" ht="14.4" x14ac:dyDescent="0.25">
      <c r="A81" s="8" t="s">
        <v>165</v>
      </c>
      <c r="B81" s="4" t="s">
        <v>89</v>
      </c>
      <c r="C81" s="4">
        <v>0.35759641339500398</v>
      </c>
      <c r="D81" s="5">
        <f t="shared" si="5"/>
        <v>0.54638397705073716</v>
      </c>
      <c r="E81" s="5">
        <v>0.265873492769298</v>
      </c>
      <c r="F81" s="3">
        <f t="shared" si="6"/>
        <v>0.42463410036042498</v>
      </c>
      <c r="G81" s="3">
        <f t="shared" si="7"/>
        <v>0.57536589963957496</v>
      </c>
      <c r="H81" s="3">
        <f t="shared" si="8"/>
        <v>0.42061969620443651</v>
      </c>
      <c r="I81" s="3">
        <f t="shared" si="9"/>
        <v>0.57536589963957496</v>
      </c>
      <c r="J81" s="3">
        <v>0.66666666666666596</v>
      </c>
    </row>
    <row r="82" spans="1:10" ht="14.4" x14ac:dyDescent="0.25">
      <c r="A82" s="8" t="s">
        <v>6</v>
      </c>
      <c r="B82" s="4" t="s">
        <v>90</v>
      </c>
      <c r="C82" s="4">
        <v>0.40560807845552099</v>
      </c>
      <c r="D82" s="5">
        <f t="shared" si="5"/>
        <v>0.64591834389840119</v>
      </c>
      <c r="E82" s="5">
        <v>0.19318181818181801</v>
      </c>
      <c r="F82" s="3">
        <f t="shared" si="6"/>
        <v>0.30853616400491413</v>
      </c>
      <c r="G82" s="3">
        <f t="shared" si="7"/>
        <v>0.69146383599508587</v>
      </c>
      <c r="H82" s="3">
        <f t="shared" si="8"/>
        <v>0.44232282708845194</v>
      </c>
      <c r="I82" s="3">
        <f t="shared" si="9"/>
        <v>0.69146383599508587</v>
      </c>
      <c r="J82" s="3">
        <v>0.75</v>
      </c>
    </row>
    <row r="83" spans="1:10" ht="14.4" x14ac:dyDescent="0.25">
      <c r="A83" s="8" t="s">
        <v>166</v>
      </c>
      <c r="B83" s="4" t="s">
        <v>91</v>
      </c>
      <c r="C83" s="4">
        <v>0.40607687514051899</v>
      </c>
      <c r="D83" s="5">
        <f t="shared" si="5"/>
        <v>0.64689021981986206</v>
      </c>
      <c r="E83" s="5">
        <v>0.16666666666666599</v>
      </c>
      <c r="F83" s="3">
        <f t="shared" si="6"/>
        <v>0.26618806306306231</v>
      </c>
      <c r="G83" s="3">
        <f t="shared" si="7"/>
        <v>0.73381193693693769</v>
      </c>
      <c r="H83" s="3">
        <f t="shared" si="8"/>
        <v>0.45023930180180183</v>
      </c>
      <c r="I83" s="3">
        <f t="shared" si="9"/>
        <v>0.73381193693693769</v>
      </c>
      <c r="J83" s="3">
        <v>0.75</v>
      </c>
    </row>
    <row r="84" spans="1:10" ht="14.4" x14ac:dyDescent="0.25">
      <c r="A84" s="8" t="s">
        <v>167</v>
      </c>
      <c r="B84" s="4" t="s">
        <v>92</v>
      </c>
      <c r="C84" s="4">
        <v>0.30546696819817498</v>
      </c>
      <c r="D84" s="5">
        <f t="shared" si="5"/>
        <v>0.43831292150108614</v>
      </c>
      <c r="E84" s="5">
        <v>0.234614944937697</v>
      </c>
      <c r="F84" s="3">
        <f t="shared" si="6"/>
        <v>0.37471018655167704</v>
      </c>
      <c r="G84" s="3">
        <f t="shared" si="7"/>
        <v>0.62528981344832291</v>
      </c>
      <c r="H84" s="3">
        <f t="shared" si="8"/>
        <v>0.42995237919300994</v>
      </c>
      <c r="I84" s="3">
        <f t="shared" si="9"/>
        <v>0.62528981344832268</v>
      </c>
      <c r="J84" s="3">
        <v>0.75</v>
      </c>
    </row>
    <row r="85" spans="1:10" ht="14.4" x14ac:dyDescent="0.25">
      <c r="A85" s="8" t="s">
        <v>168</v>
      </c>
      <c r="B85" s="4" t="s">
        <v>93</v>
      </c>
      <c r="C85" s="4">
        <v>0.33951039505868202</v>
      </c>
      <c r="D85" s="5">
        <f t="shared" si="5"/>
        <v>0.5088893310801802</v>
      </c>
      <c r="E85" s="5">
        <v>0.177489177489177</v>
      </c>
      <c r="F85" s="3">
        <f t="shared" si="6"/>
        <v>0.28347300222300181</v>
      </c>
      <c r="G85" s="3">
        <f t="shared" si="7"/>
        <v>0.71652699777699813</v>
      </c>
      <c r="H85" s="3">
        <f t="shared" si="8"/>
        <v>0.44700808763308758</v>
      </c>
      <c r="I85" s="3">
        <f t="shared" si="9"/>
        <v>0.71652699777699813</v>
      </c>
      <c r="J85" s="3">
        <v>0.66666666666666596</v>
      </c>
    </row>
    <row r="86" spans="1:10" ht="14.4" x14ac:dyDescent="0.25">
      <c r="A86" s="8" t="s">
        <v>169</v>
      </c>
      <c r="B86" s="4" t="s">
        <v>94</v>
      </c>
      <c r="C86" s="4">
        <v>0.383687628819747</v>
      </c>
      <c r="D86" s="5">
        <f t="shared" si="5"/>
        <v>0.60047442786752114</v>
      </c>
      <c r="E86" s="5">
        <v>0.21992040763194101</v>
      </c>
      <c r="F86" s="3">
        <f t="shared" si="6"/>
        <v>0.35124112401351437</v>
      </c>
      <c r="G86" s="3">
        <f t="shared" si="7"/>
        <v>0.64875887598648563</v>
      </c>
      <c r="H86" s="3">
        <f t="shared" si="8"/>
        <v>0.43433964180921331</v>
      </c>
      <c r="I86" s="3">
        <f t="shared" si="9"/>
        <v>0.64875887598648552</v>
      </c>
      <c r="J86" s="3">
        <v>0.66666666666666596</v>
      </c>
    </row>
    <row r="87" spans="1:10" ht="14.4" x14ac:dyDescent="0.25">
      <c r="A87" s="8" t="s">
        <v>170</v>
      </c>
      <c r="B87" s="4" t="s">
        <v>95</v>
      </c>
      <c r="C87" s="4">
        <v>0.46118088366730797</v>
      </c>
      <c r="D87" s="5">
        <f t="shared" si="5"/>
        <v>0.76112792835525434</v>
      </c>
      <c r="E87" s="5">
        <v>0.2196935891715</v>
      </c>
      <c r="F87" s="3">
        <f t="shared" si="6"/>
        <v>0.35087886581360395</v>
      </c>
      <c r="G87" s="3">
        <f t="shared" si="7"/>
        <v>0.64912113418639605</v>
      </c>
      <c r="H87" s="3">
        <f t="shared" si="8"/>
        <v>0.434407361678948</v>
      </c>
      <c r="I87" s="3">
        <f t="shared" si="9"/>
        <v>0.64912113418639583</v>
      </c>
      <c r="J87" s="3">
        <v>0.92857142857142805</v>
      </c>
    </row>
    <row r="88" spans="1:10" ht="14.4" x14ac:dyDescent="0.25">
      <c r="A88" s="8" t="s">
        <v>171</v>
      </c>
      <c r="B88" s="4" t="s">
        <v>96</v>
      </c>
      <c r="C88" s="4">
        <v>0.32728992593850298</v>
      </c>
      <c r="D88" s="5">
        <f t="shared" si="5"/>
        <v>0.48355472427316198</v>
      </c>
      <c r="E88" s="5">
        <v>0.29713527305238602</v>
      </c>
      <c r="F88" s="3">
        <f t="shared" si="6"/>
        <v>0.47456317680917454</v>
      </c>
      <c r="G88" s="3">
        <f t="shared" si="7"/>
        <v>0.52543682319082552</v>
      </c>
      <c r="H88" s="3">
        <f t="shared" si="8"/>
        <v>0.41128604812160574</v>
      </c>
      <c r="I88" s="3">
        <f t="shared" si="9"/>
        <v>0.52543682319082552</v>
      </c>
      <c r="J88" s="3">
        <v>0.66666666666666596</v>
      </c>
    </row>
    <row r="89" spans="1:10" ht="14.4" x14ac:dyDescent="0.25">
      <c r="A89" s="8" t="s">
        <v>188</v>
      </c>
      <c r="B89" s="4" t="s">
        <v>97</v>
      </c>
      <c r="C89" s="4">
        <v>0.40508637778957401</v>
      </c>
      <c r="D89" s="5">
        <f t="shared" si="5"/>
        <v>0.64483679120899573</v>
      </c>
      <c r="E89" s="5">
        <v>0.20512449334105301</v>
      </c>
      <c r="F89" s="3">
        <f t="shared" si="6"/>
        <v>0.32761014941548289</v>
      </c>
      <c r="G89" s="3">
        <f t="shared" si="7"/>
        <v>0.67238985058451717</v>
      </c>
      <c r="H89" s="3">
        <f t="shared" si="8"/>
        <v>0.43875717196278508</v>
      </c>
      <c r="I89" s="3">
        <f t="shared" si="9"/>
        <v>0.67238985058451717</v>
      </c>
      <c r="J89" s="3">
        <v>0.83333333333333304</v>
      </c>
    </row>
    <row r="90" spans="1:10" ht="14.4" x14ac:dyDescent="0.25">
      <c r="A90" s="8" t="s">
        <v>172</v>
      </c>
      <c r="B90" s="4" t="s">
        <v>98</v>
      </c>
      <c r="C90" s="4">
        <v>0.32679268559636199</v>
      </c>
      <c r="D90" s="5">
        <f t="shared" si="5"/>
        <v>0.48252388098614546</v>
      </c>
      <c r="E90" s="5">
        <v>0.10260616001457901</v>
      </c>
      <c r="F90" s="3">
        <f t="shared" si="6"/>
        <v>0.16387520995571719</v>
      </c>
      <c r="G90" s="3">
        <f t="shared" si="7"/>
        <v>0.83612479004428275</v>
      </c>
      <c r="H90" s="3">
        <f t="shared" si="8"/>
        <v>0.46936547502943088</v>
      </c>
      <c r="I90" s="3">
        <f t="shared" si="9"/>
        <v>0.83612479004428264</v>
      </c>
      <c r="J90" s="3">
        <v>0.66666666666666596</v>
      </c>
    </row>
    <row r="91" spans="1:10" ht="14.4" x14ac:dyDescent="0.25">
      <c r="A91" s="8" t="s">
        <v>173</v>
      </c>
      <c r="B91" s="4" t="s">
        <v>99</v>
      </c>
      <c r="C91" s="4">
        <v>0.25043562361982902</v>
      </c>
      <c r="D91" s="5">
        <f t="shared" si="5"/>
        <v>0.32422585469186205</v>
      </c>
      <c r="E91" s="5">
        <v>0.325957147874956</v>
      </c>
      <c r="F91" s="3">
        <f t="shared" si="6"/>
        <v>0.52059541100637041</v>
      </c>
      <c r="G91" s="3">
        <f t="shared" si="7"/>
        <v>0.47940458899362959</v>
      </c>
      <c r="H91" s="3">
        <f t="shared" si="8"/>
        <v>0.40268086843429279</v>
      </c>
      <c r="I91" s="3">
        <f t="shared" si="9"/>
        <v>0.47940458899362959</v>
      </c>
      <c r="J91" s="3">
        <v>0.66666666666666596</v>
      </c>
    </row>
    <row r="92" spans="1:10" ht="14.4" x14ac:dyDescent="0.25">
      <c r="A92" s="8" t="s">
        <v>174</v>
      </c>
      <c r="B92" s="4" t="s">
        <v>100</v>
      </c>
      <c r="C92" s="4">
        <v>0.37698212704911399</v>
      </c>
      <c r="D92" s="5">
        <f t="shared" si="5"/>
        <v>0.58657305885033384</v>
      </c>
      <c r="E92" s="5">
        <v>0.177937915742793</v>
      </c>
      <c r="F92" s="3">
        <f t="shared" si="6"/>
        <v>0.28418969482231587</v>
      </c>
      <c r="G92" s="3">
        <f t="shared" si="7"/>
        <v>0.71581030517768407</v>
      </c>
      <c r="H92" s="3">
        <f t="shared" si="8"/>
        <v>0.44687411046023851</v>
      </c>
      <c r="I92" s="3">
        <f t="shared" si="9"/>
        <v>0.71581030517768385</v>
      </c>
      <c r="J92" s="3">
        <v>0.66666666666666596</v>
      </c>
    </row>
    <row r="93" spans="1:10" ht="14.4" x14ac:dyDescent="0.25">
      <c r="A93" s="8" t="s">
        <v>175</v>
      </c>
      <c r="B93" s="4" t="s">
        <v>101</v>
      </c>
      <c r="C93" s="4">
        <v>0.41155270097791502</v>
      </c>
      <c r="D93" s="5">
        <f t="shared" si="5"/>
        <v>0.65824231221253993</v>
      </c>
      <c r="E93" s="5">
        <v>0.23171378761464401</v>
      </c>
      <c r="F93" s="3">
        <f t="shared" si="6"/>
        <v>0.37007666586088883</v>
      </c>
      <c r="G93" s="3">
        <f t="shared" si="7"/>
        <v>0.62992333413911117</v>
      </c>
      <c r="H93" s="3">
        <f t="shared" si="8"/>
        <v>0.43081856087687759</v>
      </c>
      <c r="I93" s="3">
        <f t="shared" si="9"/>
        <v>0.62992333413911117</v>
      </c>
      <c r="J93" s="3">
        <v>0.66666666666666596</v>
      </c>
    </row>
    <row r="94" spans="1:10" ht="14.4" x14ac:dyDescent="0.25">
      <c r="A94" s="8" t="s">
        <v>189</v>
      </c>
      <c r="B94" s="4" t="s">
        <v>102</v>
      </c>
      <c r="C94" s="4">
        <v>0.46205100822316503</v>
      </c>
      <c r="D94" s="5">
        <f t="shared" si="5"/>
        <v>0.76293180865469135</v>
      </c>
      <c r="E94" s="5">
        <v>0.153207045530076</v>
      </c>
      <c r="F94" s="3">
        <f t="shared" si="6"/>
        <v>0.24469132018359296</v>
      </c>
      <c r="G94" s="3">
        <f t="shared" si="7"/>
        <v>0.75530867981640704</v>
      </c>
      <c r="H94" s="3">
        <f t="shared" si="8"/>
        <v>0.45425786267324153</v>
      </c>
      <c r="I94" s="3">
        <f t="shared" si="9"/>
        <v>0.75530867981640715</v>
      </c>
      <c r="J94" s="3">
        <v>0.94444444444444398</v>
      </c>
    </row>
    <row r="95" spans="1:10" ht="14.4" x14ac:dyDescent="0.25">
      <c r="A95" s="8" t="s">
        <v>176</v>
      </c>
      <c r="B95" s="4" t="s">
        <v>103</v>
      </c>
      <c r="C95" s="4">
        <v>0.29412823308032598</v>
      </c>
      <c r="D95" s="5">
        <f t="shared" si="5"/>
        <v>0.41480626287164846</v>
      </c>
      <c r="E95" s="5">
        <v>0.32735583684950698</v>
      </c>
      <c r="F95" s="3">
        <f t="shared" si="6"/>
        <v>0.52282929686015078</v>
      </c>
      <c r="G95" s="3">
        <f t="shared" si="7"/>
        <v>0.47717070313984922</v>
      </c>
      <c r="H95" s="3">
        <f t="shared" si="8"/>
        <v>0.4022632699946781</v>
      </c>
      <c r="I95" s="3">
        <f t="shared" si="9"/>
        <v>0.47717070313984916</v>
      </c>
      <c r="J95" s="3">
        <v>0.66666666666666596</v>
      </c>
    </row>
    <row r="98" spans="3:8" x14ac:dyDescent="0.25">
      <c r="C98" s="4" t="s">
        <v>8</v>
      </c>
      <c r="D98" s="4"/>
      <c r="E98" s="4" t="s">
        <v>8</v>
      </c>
      <c r="H98" s="4" t="s">
        <v>8</v>
      </c>
    </row>
    <row r="99" spans="3:8" x14ac:dyDescent="0.25">
      <c r="C99" s="3">
        <f>MIN(C2:C95)</f>
        <v>9.4041167790818295E-2</v>
      </c>
      <c r="D99" s="3"/>
      <c r="E99" s="3">
        <f>MIN(E2:E95)</f>
        <v>0</v>
      </c>
      <c r="H99" s="3">
        <f>MIN(H2:H95)</f>
        <v>0.31306187202538299</v>
      </c>
    </row>
    <row r="100" spans="3:8" x14ac:dyDescent="0.25">
      <c r="C100" s="4" t="s">
        <v>9</v>
      </c>
      <c r="D100" s="4"/>
      <c r="E100" s="4" t="s">
        <v>9</v>
      </c>
      <c r="H100" s="4" t="s">
        <v>9</v>
      </c>
    </row>
    <row r="101" spans="3:8" x14ac:dyDescent="0.25">
      <c r="C101" s="3">
        <f>MAX(C2:C95)</f>
        <v>0.57640385900076196</v>
      </c>
      <c r="D101" s="3"/>
      <c r="E101" s="3">
        <f>MAX(E2:E95)</f>
        <v>0.62612374405076598</v>
      </c>
      <c r="F101" s="7"/>
      <c r="G101" s="7"/>
      <c r="H101" s="3">
        <f>MAX(H2:H95)</f>
        <v>0.5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DDA7-23A9-45F9-9809-FC98B9A43410}">
  <dimension ref="A1:J101"/>
  <sheetViews>
    <sheetView workbookViewId="0">
      <selection sqref="A1:XFD1"/>
    </sheetView>
  </sheetViews>
  <sheetFormatPr defaultRowHeight="13.8" x14ac:dyDescent="0.25"/>
  <cols>
    <col min="1" max="1" width="36.5546875" style="4" customWidth="1"/>
    <col min="2" max="2" width="8.88671875" style="6"/>
    <col min="3" max="3" width="8.88671875" style="4"/>
    <col min="4" max="10" width="8.88671875" style="6"/>
  </cols>
  <sheetData>
    <row r="1" spans="1:10" s="4" customFormat="1" x14ac:dyDescent="0.25">
      <c r="C1" s="10" t="s">
        <v>190</v>
      </c>
      <c r="D1" s="10" t="s">
        <v>191</v>
      </c>
      <c r="E1" s="10" t="s">
        <v>192</v>
      </c>
      <c r="F1" s="10" t="s">
        <v>193</v>
      </c>
      <c r="G1" s="10" t="s">
        <v>194</v>
      </c>
      <c r="H1" s="4" t="s">
        <v>195</v>
      </c>
      <c r="I1" s="4" t="s">
        <v>196</v>
      </c>
      <c r="J1" s="10" t="s">
        <v>197</v>
      </c>
    </row>
    <row r="2" spans="1:10" x14ac:dyDescent="0.25">
      <c r="A2" s="8" t="s">
        <v>0</v>
      </c>
      <c r="B2" s="4" t="s">
        <v>7</v>
      </c>
      <c r="C2" s="4">
        <v>0.52309477114927805</v>
      </c>
      <c r="D2" s="5">
        <f>(C2-$C$99)/($C$101-$C$99)</f>
        <v>0.93699611327194221</v>
      </c>
      <c r="E2" s="5">
        <v>0.21671597633136</v>
      </c>
      <c r="F2" s="5">
        <f>(E2-$E$99)/($E$101-$E$99)</f>
        <v>0.35698462016564908</v>
      </c>
      <c r="G2" s="5">
        <f>1-F2</f>
        <v>0.64301537983435098</v>
      </c>
      <c r="H2" s="5">
        <f>(E2+G2)/2</f>
        <v>0.42986567808285547</v>
      </c>
      <c r="I2" s="5">
        <f>(H2-$H$99)/($H$101-$H$99)</f>
        <v>0.64301537983435098</v>
      </c>
      <c r="J2" s="5">
        <v>0.66666666666666596</v>
      </c>
    </row>
    <row r="3" spans="1:10" ht="14.4" x14ac:dyDescent="0.25">
      <c r="A3" s="8" t="s">
        <v>177</v>
      </c>
      <c r="B3" s="4" t="s">
        <v>11</v>
      </c>
      <c r="C3" s="4">
        <v>0.38557896680509501</v>
      </c>
      <c r="D3" s="5">
        <f t="shared" ref="D3:D66" si="0">(C3-$C$99)/($C$101-$C$99)</f>
        <v>0.63634516152279741</v>
      </c>
      <c r="E3" s="5">
        <v>0.23087410998333499</v>
      </c>
      <c r="F3" s="5">
        <f t="shared" ref="F3:F66" si="1">(E3-$E$99)/($E$101-$E$99)</f>
        <v>0.38030655539887265</v>
      </c>
      <c r="G3" s="5">
        <f t="shared" ref="G3:G66" si="2">1-F3</f>
        <v>0.6196934446011273</v>
      </c>
      <c r="H3" s="5">
        <f t="shared" ref="H3:H66" si="3">(E3+G3)/2</f>
        <v>0.42528377729223116</v>
      </c>
      <c r="I3" s="5">
        <f t="shared" ref="I3:I66" si="4">(H3-$H$99)/($H$101-$H$99)</f>
        <v>0.6196934446011273</v>
      </c>
      <c r="J3" s="5">
        <v>0.88888888888888795</v>
      </c>
    </row>
    <row r="4" spans="1:10" ht="14.4" x14ac:dyDescent="0.25">
      <c r="A4" s="8" t="s">
        <v>104</v>
      </c>
      <c r="B4" s="4" t="s">
        <v>12</v>
      </c>
      <c r="C4" s="4">
        <v>0.38519303198935301</v>
      </c>
      <c r="D4" s="5">
        <f t="shared" si="0"/>
        <v>0.63550139181778553</v>
      </c>
      <c r="E4" s="5">
        <v>0.16977069109555401</v>
      </c>
      <c r="F4" s="5">
        <f t="shared" si="1"/>
        <v>0.27965416625925116</v>
      </c>
      <c r="G4" s="5">
        <f t="shared" si="2"/>
        <v>0.7203458337407489</v>
      </c>
      <c r="H4" s="5">
        <f t="shared" si="3"/>
        <v>0.44505826241815144</v>
      </c>
      <c r="I4" s="5">
        <f t="shared" si="4"/>
        <v>0.7203458337407489</v>
      </c>
      <c r="J4" s="5">
        <v>0.8</v>
      </c>
    </row>
    <row r="5" spans="1:10" ht="14.4" x14ac:dyDescent="0.25">
      <c r="A5" s="8" t="s">
        <v>105</v>
      </c>
      <c r="B5" s="4" t="s">
        <v>13</v>
      </c>
      <c r="C5" s="4">
        <v>0.36303814979761601</v>
      </c>
      <c r="D5" s="5">
        <f t="shared" si="0"/>
        <v>0.58706414892340064</v>
      </c>
      <c r="E5" s="5">
        <v>0.190644932671863</v>
      </c>
      <c r="F5" s="5">
        <f t="shared" si="1"/>
        <v>0.31403918635103639</v>
      </c>
      <c r="G5" s="5">
        <f t="shared" si="2"/>
        <v>0.68596081364896366</v>
      </c>
      <c r="H5" s="5">
        <f t="shared" si="3"/>
        <v>0.43830287316041333</v>
      </c>
      <c r="I5" s="5">
        <f t="shared" si="4"/>
        <v>0.68596081364896377</v>
      </c>
      <c r="J5" s="5">
        <v>0.66666666666666596</v>
      </c>
    </row>
    <row r="6" spans="1:10" ht="14.4" x14ac:dyDescent="0.25">
      <c r="A6" s="8" t="s">
        <v>106</v>
      </c>
      <c r="B6" s="4" t="s">
        <v>14</v>
      </c>
      <c r="C6" s="4">
        <v>0.38002536587994601</v>
      </c>
      <c r="D6" s="5">
        <f t="shared" si="0"/>
        <v>0.62420331781440475</v>
      </c>
      <c r="E6" s="5">
        <v>0.17529468532432599</v>
      </c>
      <c r="F6" s="5">
        <f t="shared" si="1"/>
        <v>0.2887535460785785</v>
      </c>
      <c r="G6" s="5">
        <f t="shared" si="2"/>
        <v>0.7112464539214215</v>
      </c>
      <c r="H6" s="5">
        <f t="shared" si="3"/>
        <v>0.44327056962287376</v>
      </c>
      <c r="I6" s="5">
        <f t="shared" si="4"/>
        <v>0.71124645392142161</v>
      </c>
      <c r="J6" s="5">
        <v>0.66666666666666596</v>
      </c>
    </row>
    <row r="7" spans="1:10" ht="14.4" x14ac:dyDescent="0.25">
      <c r="A7" s="8" t="s">
        <v>107</v>
      </c>
      <c r="B7" s="4" t="s">
        <v>15</v>
      </c>
      <c r="C7" s="4">
        <v>0.43062230989773098</v>
      </c>
      <c r="D7" s="5">
        <f t="shared" si="0"/>
        <v>0.7348234712367101</v>
      </c>
      <c r="E7" s="5">
        <v>0.19777658239196699</v>
      </c>
      <c r="F7" s="5">
        <f t="shared" si="1"/>
        <v>0.32578677095270464</v>
      </c>
      <c r="G7" s="5">
        <f t="shared" si="2"/>
        <v>0.6742132290472953</v>
      </c>
      <c r="H7" s="5">
        <f t="shared" si="3"/>
        <v>0.43599490571963118</v>
      </c>
      <c r="I7" s="5">
        <f t="shared" si="4"/>
        <v>0.6742132290472953</v>
      </c>
      <c r="J7" s="5">
        <v>0.5</v>
      </c>
    </row>
    <row r="8" spans="1:10" ht="14.4" x14ac:dyDescent="0.25">
      <c r="A8" s="8" t="s">
        <v>108</v>
      </c>
      <c r="B8" s="4" t="s">
        <v>16</v>
      </c>
      <c r="C8" s="4">
        <v>0.41401066706711998</v>
      </c>
      <c r="D8" s="5">
        <f t="shared" si="0"/>
        <v>0.69850541855208914</v>
      </c>
      <c r="E8" s="5">
        <v>0.152186583907818</v>
      </c>
      <c r="F8" s="5">
        <f t="shared" si="1"/>
        <v>0.2506888083210434</v>
      </c>
      <c r="G8" s="5">
        <f t="shared" si="2"/>
        <v>0.74931119167895655</v>
      </c>
      <c r="H8" s="5">
        <f t="shared" si="3"/>
        <v>0.45074888779338729</v>
      </c>
      <c r="I8" s="5">
        <f t="shared" si="4"/>
        <v>0.74931119167895655</v>
      </c>
      <c r="J8" s="5">
        <v>0.66666666666666596</v>
      </c>
    </row>
    <row r="9" spans="1:10" ht="14.4" x14ac:dyDescent="0.25">
      <c r="A9" s="8" t="s">
        <v>109</v>
      </c>
      <c r="B9" s="4" t="s">
        <v>17</v>
      </c>
      <c r="C9" s="4">
        <v>0.34864116870516998</v>
      </c>
      <c r="D9" s="5">
        <f t="shared" si="0"/>
        <v>0.55558801359189502</v>
      </c>
      <c r="E9" s="5">
        <v>0.20035938903863401</v>
      </c>
      <c r="F9" s="5">
        <f t="shared" si="1"/>
        <v>0.33004129000261517</v>
      </c>
      <c r="G9" s="5">
        <f t="shared" si="2"/>
        <v>0.66995870999738483</v>
      </c>
      <c r="H9" s="5">
        <f t="shared" si="3"/>
        <v>0.43515904951800943</v>
      </c>
      <c r="I9" s="5">
        <f t="shared" si="4"/>
        <v>0.66995870999738494</v>
      </c>
      <c r="J9" s="5">
        <v>0.8</v>
      </c>
    </row>
    <row r="10" spans="1:10" ht="14.4" x14ac:dyDescent="0.25">
      <c r="A10" s="8" t="s">
        <v>110</v>
      </c>
      <c r="B10" s="4" t="s">
        <v>18</v>
      </c>
      <c r="C10" s="4">
        <v>0.25063338598289298</v>
      </c>
      <c r="D10" s="5">
        <f t="shared" si="0"/>
        <v>0.3413134922392343</v>
      </c>
      <c r="E10" s="5">
        <v>0.47619566401568703</v>
      </c>
      <c r="F10" s="5">
        <f t="shared" si="1"/>
        <v>0.78441161155210104</v>
      </c>
      <c r="G10" s="5">
        <f t="shared" si="2"/>
        <v>0.21558838844789896</v>
      </c>
      <c r="H10" s="5">
        <f t="shared" si="3"/>
        <v>0.34589202623179299</v>
      </c>
      <c r="I10" s="5">
        <f t="shared" si="4"/>
        <v>0.2155883884478989</v>
      </c>
      <c r="J10" s="5">
        <v>0.66666666666666596</v>
      </c>
    </row>
    <row r="11" spans="1:10" ht="14.4" x14ac:dyDescent="0.25">
      <c r="A11" s="8" t="s">
        <v>178</v>
      </c>
      <c r="B11" s="4" t="s">
        <v>19</v>
      </c>
      <c r="C11" s="4">
        <v>0.47948781993846101</v>
      </c>
      <c r="D11" s="5">
        <f t="shared" si="0"/>
        <v>0.84165818868258402</v>
      </c>
      <c r="E11" s="5">
        <v>0.117457939257733</v>
      </c>
      <c r="F11" s="5">
        <f t="shared" si="1"/>
        <v>0.19348217210921931</v>
      </c>
      <c r="G11" s="5">
        <f t="shared" si="2"/>
        <v>0.80651782789078075</v>
      </c>
      <c r="H11" s="5">
        <f t="shared" si="3"/>
        <v>0.46198788357425685</v>
      </c>
      <c r="I11" s="5">
        <f t="shared" si="4"/>
        <v>0.80651782789078075</v>
      </c>
      <c r="J11" s="5">
        <v>0.96666666666666601</v>
      </c>
    </row>
    <row r="12" spans="1:10" ht="14.4" x14ac:dyDescent="0.25">
      <c r="A12" s="8" t="s">
        <v>179</v>
      </c>
      <c r="B12" s="4" t="s">
        <v>20</v>
      </c>
      <c r="C12" s="4">
        <v>0.43030173827233298</v>
      </c>
      <c r="D12" s="5">
        <f t="shared" si="0"/>
        <v>0.73412260514543193</v>
      </c>
      <c r="E12" s="5">
        <v>0.24708624708624699</v>
      </c>
      <c r="F12" s="5">
        <f t="shared" si="1"/>
        <v>0.40701194050120293</v>
      </c>
      <c r="G12" s="5">
        <f t="shared" si="2"/>
        <v>0.59298805949879707</v>
      </c>
      <c r="H12" s="5">
        <f t="shared" si="3"/>
        <v>0.420037153292522</v>
      </c>
      <c r="I12" s="5">
        <f t="shared" si="4"/>
        <v>0.59298805949879696</v>
      </c>
      <c r="J12" s="5">
        <v>0.9</v>
      </c>
    </row>
    <row r="13" spans="1:10" ht="14.4" x14ac:dyDescent="0.25">
      <c r="A13" s="8" t="s">
        <v>111</v>
      </c>
      <c r="B13" s="4" t="s">
        <v>21</v>
      </c>
      <c r="C13" s="4">
        <v>0.26693828225976601</v>
      </c>
      <c r="D13" s="5">
        <f t="shared" si="0"/>
        <v>0.37696090460169795</v>
      </c>
      <c r="E13" s="5">
        <v>0.263350868802805</v>
      </c>
      <c r="F13" s="5">
        <f t="shared" si="1"/>
        <v>0.43380378069643472</v>
      </c>
      <c r="G13" s="5">
        <f t="shared" si="2"/>
        <v>0.56619621930356523</v>
      </c>
      <c r="H13" s="5">
        <f t="shared" si="3"/>
        <v>0.41477354405318512</v>
      </c>
      <c r="I13" s="5">
        <f t="shared" si="4"/>
        <v>0.56619621930356512</v>
      </c>
      <c r="J13" s="5">
        <v>0.66666666666666596</v>
      </c>
    </row>
    <row r="14" spans="1:10" ht="14.4" x14ac:dyDescent="0.25">
      <c r="A14" s="8" t="s">
        <v>112</v>
      </c>
      <c r="B14" s="4" t="s">
        <v>22</v>
      </c>
      <c r="C14" s="4">
        <v>0.386414964836856</v>
      </c>
      <c r="D14" s="5">
        <f t="shared" si="0"/>
        <v>0.63817290492369605</v>
      </c>
      <c r="E14" s="5">
        <v>0.13052086992622799</v>
      </c>
      <c r="F14" s="5">
        <f t="shared" si="1"/>
        <v>0.21500003812853269</v>
      </c>
      <c r="G14" s="5">
        <f t="shared" si="2"/>
        <v>0.78499996187146737</v>
      </c>
      <c r="H14" s="5">
        <f t="shared" si="3"/>
        <v>0.45776041589884769</v>
      </c>
      <c r="I14" s="5">
        <f t="shared" si="4"/>
        <v>0.78499996187146759</v>
      </c>
      <c r="J14" s="5">
        <v>0.66666666666666596</v>
      </c>
    </row>
    <row r="15" spans="1:10" ht="14.4" x14ac:dyDescent="0.25">
      <c r="A15" s="8" t="s">
        <v>113</v>
      </c>
      <c r="B15" s="4" t="s">
        <v>23</v>
      </c>
      <c r="C15" s="4">
        <v>0.41012934025153602</v>
      </c>
      <c r="D15" s="5">
        <f t="shared" si="0"/>
        <v>0.69001966953785854</v>
      </c>
      <c r="E15" s="5">
        <v>0.129943502824858</v>
      </c>
      <c r="F15" s="5">
        <f t="shared" si="1"/>
        <v>0.21404897222712652</v>
      </c>
      <c r="G15" s="5">
        <f t="shared" si="2"/>
        <v>0.78595102777287351</v>
      </c>
      <c r="H15" s="5">
        <f t="shared" si="3"/>
        <v>0.45794726529886576</v>
      </c>
      <c r="I15" s="5">
        <f t="shared" si="4"/>
        <v>0.78595102777287351</v>
      </c>
      <c r="J15" s="5">
        <v>0.75</v>
      </c>
    </row>
    <row r="16" spans="1:10" ht="14.4" x14ac:dyDescent="0.25">
      <c r="A16" s="8" t="s">
        <v>114</v>
      </c>
      <c r="B16" s="4" t="s">
        <v>24</v>
      </c>
      <c r="C16" s="4">
        <v>0.36444778187313798</v>
      </c>
      <c r="D16" s="5">
        <f t="shared" si="0"/>
        <v>0.59014602905450952</v>
      </c>
      <c r="E16" s="5">
        <v>0.156452372335523</v>
      </c>
      <c r="F16" s="5">
        <f t="shared" si="1"/>
        <v>0.25771561311573421</v>
      </c>
      <c r="G16" s="5">
        <f t="shared" si="2"/>
        <v>0.74228438688426579</v>
      </c>
      <c r="H16" s="5">
        <f t="shared" si="3"/>
        <v>0.4493683796098944</v>
      </c>
      <c r="I16" s="5">
        <f t="shared" si="4"/>
        <v>0.74228438688426579</v>
      </c>
      <c r="J16" s="5">
        <v>0.96226415094339601</v>
      </c>
    </row>
    <row r="17" spans="1:10" ht="14.4" x14ac:dyDescent="0.25">
      <c r="A17" s="8" t="s">
        <v>115</v>
      </c>
      <c r="B17" s="4" t="s">
        <v>25</v>
      </c>
      <c r="C17" s="4">
        <v>0.37963294948506898</v>
      </c>
      <c r="D17" s="5">
        <f t="shared" si="0"/>
        <v>0.62334537742592067</v>
      </c>
      <c r="E17" s="5">
        <v>0.157461613086675</v>
      </c>
      <c r="F17" s="5">
        <f t="shared" si="1"/>
        <v>0.25937808134860141</v>
      </c>
      <c r="G17" s="5">
        <f t="shared" si="2"/>
        <v>0.74062191865139859</v>
      </c>
      <c r="H17" s="5">
        <f t="shared" si="3"/>
        <v>0.44904176586903677</v>
      </c>
      <c r="I17" s="5">
        <f t="shared" si="4"/>
        <v>0.74062191865139848</v>
      </c>
      <c r="J17" s="5">
        <v>0.83333333333333304</v>
      </c>
    </row>
    <row r="18" spans="1:10" ht="14.4" x14ac:dyDescent="0.25">
      <c r="A18" s="8" t="s">
        <v>116</v>
      </c>
      <c r="B18" s="4" t="s">
        <v>26</v>
      </c>
      <c r="C18" s="4">
        <v>0.37826911147412601</v>
      </c>
      <c r="D18" s="5">
        <f t="shared" si="0"/>
        <v>0.62036361690772313</v>
      </c>
      <c r="E18" s="5">
        <v>0.16642862000952099</v>
      </c>
      <c r="F18" s="5">
        <f t="shared" si="1"/>
        <v>0.27414895156575814</v>
      </c>
      <c r="G18" s="5">
        <f t="shared" si="2"/>
        <v>0.72585104843424186</v>
      </c>
      <c r="H18" s="5">
        <f t="shared" si="3"/>
        <v>0.44613983422188142</v>
      </c>
      <c r="I18" s="5">
        <f t="shared" si="4"/>
        <v>0.72585104843424175</v>
      </c>
      <c r="J18" s="5">
        <v>0.85714285714285698</v>
      </c>
    </row>
    <row r="19" spans="1:10" ht="14.4" x14ac:dyDescent="0.25">
      <c r="A19" s="8" t="s">
        <v>117</v>
      </c>
      <c r="B19" s="4" t="s">
        <v>27</v>
      </c>
      <c r="C19" s="4">
        <v>0.46517626732759898</v>
      </c>
      <c r="D19" s="5">
        <f t="shared" si="0"/>
        <v>0.81036882573274904</v>
      </c>
      <c r="E19" s="5">
        <v>0.25503667766253502</v>
      </c>
      <c r="F19" s="5">
        <f t="shared" si="1"/>
        <v>0.42010825895208603</v>
      </c>
      <c r="G19" s="5">
        <f t="shared" si="2"/>
        <v>0.57989174104791397</v>
      </c>
      <c r="H19" s="5">
        <f t="shared" si="3"/>
        <v>0.41746420935522449</v>
      </c>
      <c r="I19" s="5">
        <f t="shared" si="4"/>
        <v>0.57989174104791397</v>
      </c>
      <c r="J19" s="5">
        <v>0.66666666666666596</v>
      </c>
    </row>
    <row r="20" spans="1:10" ht="14.4" x14ac:dyDescent="0.25">
      <c r="A20" s="8" t="s">
        <v>118</v>
      </c>
      <c r="B20" s="4" t="s">
        <v>28</v>
      </c>
      <c r="C20" s="4">
        <v>0.38056585530720499</v>
      </c>
      <c r="D20" s="5">
        <f t="shared" si="0"/>
        <v>0.62538499043371365</v>
      </c>
      <c r="E20" s="5">
        <v>0.122429730239577</v>
      </c>
      <c r="F20" s="5">
        <f t="shared" si="1"/>
        <v>0.20167193709674761</v>
      </c>
      <c r="G20" s="5">
        <f t="shared" si="2"/>
        <v>0.79832806290325242</v>
      </c>
      <c r="H20" s="5">
        <f t="shared" si="3"/>
        <v>0.46037889657141473</v>
      </c>
      <c r="I20" s="5">
        <f t="shared" si="4"/>
        <v>0.79832806290325253</v>
      </c>
      <c r="J20" s="5">
        <v>0.66666666666666596</v>
      </c>
    </row>
    <row r="21" spans="1:10" ht="14.4" x14ac:dyDescent="0.25">
      <c r="A21" s="8" t="s">
        <v>119</v>
      </c>
      <c r="B21" s="4" t="s">
        <v>29</v>
      </c>
      <c r="C21" s="4">
        <v>0.39679753693666298</v>
      </c>
      <c r="D21" s="5">
        <f t="shared" si="0"/>
        <v>0.6608723335333585</v>
      </c>
      <c r="E21" s="5">
        <v>0.20251336125956901</v>
      </c>
      <c r="F21" s="5">
        <f t="shared" si="1"/>
        <v>0.3335894130720567</v>
      </c>
      <c r="G21" s="5">
        <f t="shared" si="2"/>
        <v>0.6664105869279433</v>
      </c>
      <c r="H21" s="5">
        <f t="shared" si="3"/>
        <v>0.43446197409375614</v>
      </c>
      <c r="I21" s="5">
        <f t="shared" si="4"/>
        <v>0.66641058692794319</v>
      </c>
      <c r="J21" s="5">
        <v>0.90531177829099296</v>
      </c>
    </row>
    <row r="22" spans="1:10" ht="14.4" x14ac:dyDescent="0.25">
      <c r="A22" s="8" t="s">
        <v>120</v>
      </c>
      <c r="B22" s="4" t="s">
        <v>30</v>
      </c>
      <c r="C22" s="4">
        <v>0.382205285563263</v>
      </c>
      <c r="D22" s="5">
        <f t="shared" si="0"/>
        <v>0.62896927857543539</v>
      </c>
      <c r="E22" s="5">
        <v>0.20813802926943001</v>
      </c>
      <c r="F22" s="5">
        <f t="shared" si="1"/>
        <v>0.34285462741872758</v>
      </c>
      <c r="G22" s="5">
        <f t="shared" si="2"/>
        <v>0.65714537258127237</v>
      </c>
      <c r="H22" s="5">
        <f t="shared" si="3"/>
        <v>0.4326417009253512</v>
      </c>
      <c r="I22" s="5">
        <f t="shared" si="4"/>
        <v>0.65714537258127237</v>
      </c>
      <c r="J22" s="5">
        <v>0.89795918367346905</v>
      </c>
    </row>
    <row r="23" spans="1:10" ht="14.4" x14ac:dyDescent="0.25">
      <c r="A23" s="8" t="s">
        <v>121</v>
      </c>
      <c r="B23" s="4" t="s">
        <v>31</v>
      </c>
      <c r="C23" s="4">
        <v>0.38123333594255099</v>
      </c>
      <c r="D23" s="5">
        <f t="shared" si="0"/>
        <v>0.62684430406859326</v>
      </c>
      <c r="E23" s="5">
        <v>0.25393081761006198</v>
      </c>
      <c r="F23" s="5">
        <f t="shared" si="1"/>
        <v>0.41828663491923285</v>
      </c>
      <c r="G23" s="5">
        <f t="shared" si="2"/>
        <v>0.5817133650807671</v>
      </c>
      <c r="H23" s="5">
        <f t="shared" si="3"/>
        <v>0.41782209134541454</v>
      </c>
      <c r="I23" s="5">
        <f t="shared" si="4"/>
        <v>0.58171336508076699</v>
      </c>
      <c r="J23" s="5">
        <v>0.875</v>
      </c>
    </row>
    <row r="24" spans="1:10" ht="14.4" x14ac:dyDescent="0.25">
      <c r="A24" s="8" t="s">
        <v>122</v>
      </c>
      <c r="B24" s="4" t="s">
        <v>32</v>
      </c>
      <c r="C24" s="4">
        <v>0.30848025480713798</v>
      </c>
      <c r="D24" s="5">
        <f t="shared" si="0"/>
        <v>0.46778416410607027</v>
      </c>
      <c r="E24" s="5">
        <v>0.187037689327227</v>
      </c>
      <c r="F24" s="5">
        <f t="shared" si="1"/>
        <v>0.30809716759898553</v>
      </c>
      <c r="G24" s="5">
        <f t="shared" si="2"/>
        <v>0.69190283240101447</v>
      </c>
      <c r="H24" s="5">
        <f t="shared" si="3"/>
        <v>0.43947026086412072</v>
      </c>
      <c r="I24" s="5">
        <f t="shared" si="4"/>
        <v>0.69190283240101447</v>
      </c>
      <c r="J24" s="5">
        <v>0.66666666666666596</v>
      </c>
    </row>
    <row r="25" spans="1:10" ht="14.4" x14ac:dyDescent="0.25">
      <c r="A25" s="8" t="s">
        <v>123</v>
      </c>
      <c r="B25" s="4" t="s">
        <v>33</v>
      </c>
      <c r="C25" s="4">
        <v>0.36774916418960801</v>
      </c>
      <c r="D25" s="5">
        <f t="shared" si="0"/>
        <v>0.59736384478316762</v>
      </c>
      <c r="E25" s="5">
        <v>0.16409808037396201</v>
      </c>
      <c r="F25" s="5">
        <f t="shared" si="1"/>
        <v>0.27030997845143206</v>
      </c>
      <c r="G25" s="5">
        <f t="shared" si="2"/>
        <v>0.72969002154856799</v>
      </c>
      <c r="H25" s="5">
        <f t="shared" si="3"/>
        <v>0.446894050961265</v>
      </c>
      <c r="I25" s="5">
        <f t="shared" si="4"/>
        <v>0.7296900215485681</v>
      </c>
      <c r="J25" s="5">
        <v>0.85714285714285698</v>
      </c>
    </row>
    <row r="26" spans="1:10" ht="14.4" x14ac:dyDescent="0.25">
      <c r="A26" s="8" t="s">
        <v>124</v>
      </c>
      <c r="B26" s="4" t="s">
        <v>34</v>
      </c>
      <c r="C26" s="4">
        <v>0.376168181894456</v>
      </c>
      <c r="D26" s="5">
        <f t="shared" si="0"/>
        <v>0.61577035229571686</v>
      </c>
      <c r="E26" s="5">
        <v>0.117318435754189</v>
      </c>
      <c r="F26" s="5">
        <f t="shared" si="1"/>
        <v>0.19325237545985607</v>
      </c>
      <c r="G26" s="5">
        <f t="shared" si="2"/>
        <v>0.80674762454014393</v>
      </c>
      <c r="H26" s="5">
        <f t="shared" si="3"/>
        <v>0.46203303014716646</v>
      </c>
      <c r="I26" s="5">
        <f t="shared" si="4"/>
        <v>0.80674762454014393</v>
      </c>
      <c r="J26" s="5">
        <v>0.66666666666666596</v>
      </c>
    </row>
    <row r="27" spans="1:10" ht="14.4" x14ac:dyDescent="0.25">
      <c r="A27" s="8" t="s">
        <v>1</v>
      </c>
      <c r="B27" s="4" t="s">
        <v>35</v>
      </c>
      <c r="C27" s="4">
        <v>0.18183264921401501</v>
      </c>
      <c r="D27" s="5">
        <f t="shared" si="0"/>
        <v>0.19089436703938578</v>
      </c>
      <c r="E27" s="5">
        <v>7.5268817204300995E-2</v>
      </c>
      <c r="F27" s="5">
        <f t="shared" si="1"/>
        <v>0.12398629106564328</v>
      </c>
      <c r="G27" s="5">
        <f t="shared" si="2"/>
        <v>0.87601370893435671</v>
      </c>
      <c r="H27" s="5">
        <f t="shared" si="3"/>
        <v>0.47564126306932886</v>
      </c>
      <c r="I27" s="5">
        <f t="shared" si="4"/>
        <v>0.87601370893435671</v>
      </c>
      <c r="J27" s="5">
        <v>0.71111111111111103</v>
      </c>
    </row>
    <row r="28" spans="1:10" ht="14.4" x14ac:dyDescent="0.25">
      <c r="A28" s="8" t="s">
        <v>125</v>
      </c>
      <c r="B28" s="4" t="s">
        <v>36</v>
      </c>
      <c r="C28" s="4">
        <v>0.38565773934262199</v>
      </c>
      <c r="D28" s="5">
        <f t="shared" si="0"/>
        <v>0.63651738200677832</v>
      </c>
      <c r="E28" s="5">
        <v>0.23687726665394099</v>
      </c>
      <c r="F28" s="5">
        <f t="shared" si="1"/>
        <v>0.390195233843947</v>
      </c>
      <c r="G28" s="5">
        <f t="shared" si="2"/>
        <v>0.60980476615605306</v>
      </c>
      <c r="H28" s="5">
        <f t="shared" si="3"/>
        <v>0.42334101640499699</v>
      </c>
      <c r="I28" s="5">
        <f t="shared" si="4"/>
        <v>0.60980476615605295</v>
      </c>
      <c r="J28" s="5">
        <v>0.66666666666666596</v>
      </c>
    </row>
    <row r="29" spans="1:10" ht="14.4" x14ac:dyDescent="0.25">
      <c r="A29" s="8" t="s">
        <v>126</v>
      </c>
      <c r="B29" s="4" t="s">
        <v>37</v>
      </c>
      <c r="C29" s="4">
        <v>0.34433939382746498</v>
      </c>
      <c r="D29" s="5">
        <f t="shared" si="0"/>
        <v>0.5461830385247709</v>
      </c>
      <c r="E29" s="5">
        <v>0.223253030076313</v>
      </c>
      <c r="F29" s="5">
        <f t="shared" si="1"/>
        <v>0.36775275866493695</v>
      </c>
      <c r="G29" s="5">
        <f t="shared" si="2"/>
        <v>0.63224724133506305</v>
      </c>
      <c r="H29" s="5">
        <f t="shared" si="3"/>
        <v>0.42775013570568804</v>
      </c>
      <c r="I29" s="5">
        <f t="shared" si="4"/>
        <v>0.63224724133506316</v>
      </c>
      <c r="J29" s="5">
        <v>0.66666666666666596</v>
      </c>
    </row>
    <row r="30" spans="1:10" ht="14.4" x14ac:dyDescent="0.25">
      <c r="A30" s="8" t="s">
        <v>180</v>
      </c>
      <c r="B30" s="4" t="s">
        <v>38</v>
      </c>
      <c r="C30" s="4">
        <v>0.36369629254549102</v>
      </c>
      <c r="D30" s="5">
        <f t="shared" si="0"/>
        <v>0.58850304712480428</v>
      </c>
      <c r="E30" s="5">
        <v>0.20147207389233601</v>
      </c>
      <c r="F30" s="5">
        <f t="shared" si="1"/>
        <v>0.33187415616498589</v>
      </c>
      <c r="G30" s="5">
        <f t="shared" si="2"/>
        <v>0.66812584383501417</v>
      </c>
      <c r="H30" s="5">
        <f t="shared" si="3"/>
        <v>0.43479895886367509</v>
      </c>
      <c r="I30" s="5">
        <f t="shared" si="4"/>
        <v>0.66812584383501428</v>
      </c>
      <c r="J30" s="5">
        <v>0.92857142857142805</v>
      </c>
    </row>
    <row r="31" spans="1:10" ht="14.4" x14ac:dyDescent="0.25">
      <c r="A31" s="8" t="s">
        <v>127</v>
      </c>
      <c r="B31" s="4" t="s">
        <v>39</v>
      </c>
      <c r="C31" s="4">
        <v>0.36983174525792301</v>
      </c>
      <c r="D31" s="5">
        <f t="shared" si="0"/>
        <v>0.60191699402495613</v>
      </c>
      <c r="E31" s="5">
        <v>0.25669713205168598</v>
      </c>
      <c r="F31" s="5">
        <f t="shared" si="1"/>
        <v>0.42284343653081297</v>
      </c>
      <c r="G31" s="5">
        <f t="shared" si="2"/>
        <v>0.57715656346918709</v>
      </c>
      <c r="H31" s="5">
        <f t="shared" si="3"/>
        <v>0.41692684776043654</v>
      </c>
      <c r="I31" s="5">
        <f t="shared" si="4"/>
        <v>0.57715656346918709</v>
      </c>
      <c r="J31" s="5">
        <v>0.97777777777777697</v>
      </c>
    </row>
    <row r="32" spans="1:10" ht="14.4" x14ac:dyDescent="0.25">
      <c r="A32" s="8" t="s">
        <v>128</v>
      </c>
      <c r="B32" s="4" t="s">
        <v>40</v>
      </c>
      <c r="C32" s="4">
        <v>0.34714058766274197</v>
      </c>
      <c r="D32" s="5">
        <f t="shared" si="0"/>
        <v>0.55230729163608605</v>
      </c>
      <c r="E32" s="5">
        <v>0.19380974260236999</v>
      </c>
      <c r="F32" s="5">
        <f t="shared" si="1"/>
        <v>0.3192524082374148</v>
      </c>
      <c r="G32" s="5">
        <f t="shared" si="2"/>
        <v>0.68074759176258515</v>
      </c>
      <c r="H32" s="5">
        <f t="shared" si="3"/>
        <v>0.43727866718247754</v>
      </c>
      <c r="I32" s="5">
        <f t="shared" si="4"/>
        <v>0.68074759176258492</v>
      </c>
      <c r="J32" s="5">
        <v>0.66666666666666596</v>
      </c>
    </row>
    <row r="33" spans="1:10" ht="14.4" x14ac:dyDescent="0.25">
      <c r="A33" s="8" t="s">
        <v>129</v>
      </c>
      <c r="B33" s="4" t="s">
        <v>41</v>
      </c>
      <c r="C33" s="4">
        <v>0.35010481605743898</v>
      </c>
      <c r="D33" s="5">
        <f t="shared" si="0"/>
        <v>0.55878798738096891</v>
      </c>
      <c r="E33" s="5">
        <v>0.14772428308339899</v>
      </c>
      <c r="F33" s="5">
        <f t="shared" si="1"/>
        <v>0.2433382991807555</v>
      </c>
      <c r="G33" s="5">
        <f t="shared" si="2"/>
        <v>0.75666170081924444</v>
      </c>
      <c r="H33" s="5">
        <f t="shared" si="3"/>
        <v>0.45219299195132173</v>
      </c>
      <c r="I33" s="5">
        <f t="shared" si="4"/>
        <v>0.75666170081924444</v>
      </c>
      <c r="J33" s="5">
        <v>0.66666666666666596</v>
      </c>
    </row>
    <row r="34" spans="1:10" ht="14.4" x14ac:dyDescent="0.25">
      <c r="A34" s="8" t="s">
        <v>130</v>
      </c>
      <c r="B34" s="4" t="s">
        <v>42</v>
      </c>
      <c r="C34" s="4">
        <v>0.31135263765081</v>
      </c>
      <c r="D34" s="5">
        <f t="shared" si="0"/>
        <v>0.47406405782342426</v>
      </c>
      <c r="E34" s="5">
        <v>0.204863001270186</v>
      </c>
      <c r="F34" s="5">
        <f t="shared" si="1"/>
        <v>0.33745984921117</v>
      </c>
      <c r="G34" s="5">
        <f t="shared" si="2"/>
        <v>0.66254015078883</v>
      </c>
      <c r="H34" s="5">
        <f t="shared" si="3"/>
        <v>0.43370157602950798</v>
      </c>
      <c r="I34" s="5">
        <f t="shared" si="4"/>
        <v>0.66254015078882988</v>
      </c>
      <c r="J34" s="5">
        <v>0.66666666666666596</v>
      </c>
    </row>
    <row r="35" spans="1:10" ht="14.4" x14ac:dyDescent="0.25">
      <c r="A35" s="8" t="s">
        <v>131</v>
      </c>
      <c r="B35" s="4" t="s">
        <v>43</v>
      </c>
      <c r="C35" s="4">
        <v>0.43911278486997901</v>
      </c>
      <c r="D35" s="5">
        <f t="shared" si="0"/>
        <v>0.75338620585025085</v>
      </c>
      <c r="E35" s="5">
        <v>0.24611801242236001</v>
      </c>
      <c r="F35" s="5">
        <f t="shared" si="1"/>
        <v>0.4054170193995375</v>
      </c>
      <c r="G35" s="5">
        <f t="shared" si="2"/>
        <v>0.59458298060046255</v>
      </c>
      <c r="H35" s="5">
        <f t="shared" si="3"/>
        <v>0.42035049651141126</v>
      </c>
      <c r="I35" s="5">
        <f t="shared" si="4"/>
        <v>0.59458298060046255</v>
      </c>
      <c r="J35" s="5">
        <v>0.8</v>
      </c>
    </row>
    <row r="36" spans="1:10" ht="14.4" x14ac:dyDescent="0.25">
      <c r="A36" s="8" t="s">
        <v>132</v>
      </c>
      <c r="B36" s="4" t="s">
        <v>44</v>
      </c>
      <c r="C36" s="4">
        <v>0.55191234218909202</v>
      </c>
      <c r="D36" s="5">
        <f t="shared" si="0"/>
        <v>1</v>
      </c>
      <c r="E36" s="5">
        <v>2.3345896147403601E-2</v>
      </c>
      <c r="F36" s="5">
        <f t="shared" si="1"/>
        <v>3.8456444281083538E-2</v>
      </c>
      <c r="G36" s="5">
        <f t="shared" si="2"/>
        <v>0.96154355571891648</v>
      </c>
      <c r="H36" s="5">
        <f t="shared" si="3"/>
        <v>0.49244472593316002</v>
      </c>
      <c r="I36" s="5">
        <f t="shared" si="4"/>
        <v>0.96154355571891637</v>
      </c>
      <c r="J36" s="5">
        <v>0.96877033181522398</v>
      </c>
    </row>
    <row r="37" spans="1:10" ht="14.4" x14ac:dyDescent="0.25">
      <c r="A37" s="8" t="s">
        <v>2</v>
      </c>
      <c r="B37" s="4" t="s">
        <v>45</v>
      </c>
      <c r="C37" s="4">
        <v>0.34887088841115199</v>
      </c>
      <c r="D37" s="5">
        <f t="shared" si="0"/>
        <v>0.55609025003350554</v>
      </c>
      <c r="E37" s="5">
        <v>0.130845898287758</v>
      </c>
      <c r="F37" s="5">
        <f t="shared" si="1"/>
        <v>0.21553543993945615</v>
      </c>
      <c r="G37" s="5">
        <f t="shared" si="2"/>
        <v>0.78446456006054388</v>
      </c>
      <c r="H37" s="5">
        <f t="shared" si="3"/>
        <v>0.45765522917415091</v>
      </c>
      <c r="I37" s="5">
        <f t="shared" si="4"/>
        <v>0.78446456006054377</v>
      </c>
      <c r="J37" s="5">
        <v>0.66666666666666596</v>
      </c>
    </row>
    <row r="38" spans="1:10" ht="14.4" x14ac:dyDescent="0.25">
      <c r="A38" s="8" t="s">
        <v>133</v>
      </c>
      <c r="B38" s="4" t="s">
        <v>46</v>
      </c>
      <c r="C38" s="4">
        <v>0.38635972843319399</v>
      </c>
      <c r="D38" s="5">
        <f t="shared" si="0"/>
        <v>0.63805214151463641</v>
      </c>
      <c r="E38" s="5">
        <v>0.19429590017825299</v>
      </c>
      <c r="F38" s="5">
        <f t="shared" si="1"/>
        <v>0.3200532295728104</v>
      </c>
      <c r="G38" s="5">
        <f t="shared" si="2"/>
        <v>0.67994677042718954</v>
      </c>
      <c r="H38" s="5">
        <f t="shared" si="3"/>
        <v>0.43712133530272124</v>
      </c>
      <c r="I38" s="5">
        <f t="shared" si="4"/>
        <v>0.67994677042718932</v>
      </c>
      <c r="J38" s="5">
        <v>0.88888888888888795</v>
      </c>
    </row>
    <row r="39" spans="1:10" ht="14.4" x14ac:dyDescent="0.25">
      <c r="A39" s="8" t="s">
        <v>134</v>
      </c>
      <c r="B39" s="4" t="s">
        <v>47</v>
      </c>
      <c r="C39" s="4">
        <v>0.35830006265585401</v>
      </c>
      <c r="D39" s="5">
        <f t="shared" si="0"/>
        <v>0.57670526388153465</v>
      </c>
      <c r="E39" s="5">
        <v>0</v>
      </c>
      <c r="F39" s="5">
        <f t="shared" si="1"/>
        <v>0</v>
      </c>
      <c r="G39" s="5">
        <f t="shared" si="2"/>
        <v>1</v>
      </c>
      <c r="H39" s="5">
        <f t="shared" si="3"/>
        <v>0.5</v>
      </c>
      <c r="I39" s="5">
        <f t="shared" si="4"/>
        <v>1</v>
      </c>
      <c r="J39" s="5">
        <v>0.66666666666666596</v>
      </c>
    </row>
    <row r="40" spans="1:10" ht="14.4" x14ac:dyDescent="0.25">
      <c r="A40" s="8" t="s">
        <v>135</v>
      </c>
      <c r="B40" s="4" t="s">
        <v>48</v>
      </c>
      <c r="C40" s="4">
        <v>0.41062432606288302</v>
      </c>
      <c r="D40" s="5">
        <f t="shared" si="0"/>
        <v>0.69110185755249076</v>
      </c>
      <c r="E40" s="5">
        <v>7.8801977318987998E-2</v>
      </c>
      <c r="F40" s="5">
        <f t="shared" si="1"/>
        <v>0.12980627648101226</v>
      </c>
      <c r="G40" s="5">
        <f t="shared" si="2"/>
        <v>0.87019372351898772</v>
      </c>
      <c r="H40" s="5">
        <f t="shared" si="3"/>
        <v>0.47449785041898784</v>
      </c>
      <c r="I40" s="5">
        <f t="shared" si="4"/>
        <v>0.87019372351898761</v>
      </c>
      <c r="J40" s="5">
        <v>0.70422535211267601</v>
      </c>
    </row>
    <row r="41" spans="1:10" ht="14.4" x14ac:dyDescent="0.25">
      <c r="A41" s="8" t="s">
        <v>181</v>
      </c>
      <c r="B41" s="4" t="s">
        <v>49</v>
      </c>
      <c r="C41" s="4">
        <v>0.19522144141765399</v>
      </c>
      <c r="D41" s="5">
        <f t="shared" si="0"/>
        <v>0.22016629791302331</v>
      </c>
      <c r="E41" s="5">
        <v>0.60707370595068999</v>
      </c>
      <c r="F41" s="5">
        <f t="shared" si="1"/>
        <v>1</v>
      </c>
      <c r="G41" s="5">
        <f t="shared" si="2"/>
        <v>0</v>
      </c>
      <c r="H41" s="5">
        <f t="shared" si="3"/>
        <v>0.303536852975345</v>
      </c>
      <c r="I41" s="5">
        <f t="shared" si="4"/>
        <v>0</v>
      </c>
      <c r="J41" s="5">
        <v>0.66666666666666596</v>
      </c>
    </row>
    <row r="42" spans="1:10" ht="14.4" x14ac:dyDescent="0.25">
      <c r="A42" s="8" t="s">
        <v>182</v>
      </c>
      <c r="B42" s="4" t="s">
        <v>50</v>
      </c>
      <c r="C42" s="4">
        <v>0.31598951899683497</v>
      </c>
      <c r="D42" s="5">
        <f t="shared" si="0"/>
        <v>0.48420167652462504</v>
      </c>
      <c r="E42" s="5">
        <v>0.215396118225328</v>
      </c>
      <c r="F42" s="5">
        <f t="shared" si="1"/>
        <v>0.35481048860123704</v>
      </c>
      <c r="G42" s="5">
        <f t="shared" si="2"/>
        <v>0.6451895113987629</v>
      </c>
      <c r="H42" s="5">
        <f t="shared" si="3"/>
        <v>0.43029281481204545</v>
      </c>
      <c r="I42" s="5">
        <f t="shared" si="4"/>
        <v>0.64518951139876279</v>
      </c>
      <c r="J42" s="5">
        <v>0.66666666666666596</v>
      </c>
    </row>
    <row r="43" spans="1:10" ht="14.4" x14ac:dyDescent="0.25">
      <c r="A43" s="8" t="s">
        <v>3</v>
      </c>
      <c r="B43" s="4" t="s">
        <v>51</v>
      </c>
      <c r="C43" s="4">
        <v>0.429944026683792</v>
      </c>
      <c r="D43" s="5">
        <f t="shared" si="0"/>
        <v>0.73334053991257064</v>
      </c>
      <c r="E43" s="5">
        <v>0.29053744640106499</v>
      </c>
      <c r="F43" s="5">
        <f t="shared" si="1"/>
        <v>0.47858677381863762</v>
      </c>
      <c r="G43" s="5">
        <f t="shared" si="2"/>
        <v>0.52141322618136243</v>
      </c>
      <c r="H43" s="5">
        <f t="shared" si="3"/>
        <v>0.40597533629121374</v>
      </c>
      <c r="I43" s="5">
        <f t="shared" si="4"/>
        <v>0.52141322618136265</v>
      </c>
      <c r="J43" s="5">
        <v>0.97222222222222199</v>
      </c>
    </row>
    <row r="44" spans="1:10" ht="14.4" x14ac:dyDescent="0.25">
      <c r="A44" s="8" t="s">
        <v>136</v>
      </c>
      <c r="B44" s="4" t="s">
        <v>52</v>
      </c>
      <c r="C44" s="4">
        <v>0.36566753305465999</v>
      </c>
      <c r="D44" s="5">
        <f t="shared" si="0"/>
        <v>0.59281277238172658</v>
      </c>
      <c r="E44" s="5">
        <v>0.21262949162477701</v>
      </c>
      <c r="F44" s="5">
        <f t="shared" si="1"/>
        <v>0.35025317278697621</v>
      </c>
      <c r="G44" s="5">
        <f t="shared" si="2"/>
        <v>0.64974682721302379</v>
      </c>
      <c r="H44" s="5">
        <f t="shared" si="3"/>
        <v>0.43118815941890043</v>
      </c>
      <c r="I44" s="5">
        <f t="shared" si="4"/>
        <v>0.6497468272130239</v>
      </c>
      <c r="J44" s="5">
        <v>0.91304347826086896</v>
      </c>
    </row>
    <row r="45" spans="1:10" ht="14.4" x14ac:dyDescent="0.25">
      <c r="A45" s="8" t="s">
        <v>137</v>
      </c>
      <c r="B45" s="4" t="s">
        <v>53</v>
      </c>
      <c r="C45" s="4">
        <v>0.36540807185611801</v>
      </c>
      <c r="D45" s="5">
        <f t="shared" si="0"/>
        <v>0.59224551208276943</v>
      </c>
      <c r="E45" s="5">
        <v>0.28016359918200401</v>
      </c>
      <c r="F45" s="5">
        <f t="shared" si="1"/>
        <v>0.46149849093408191</v>
      </c>
      <c r="G45" s="5">
        <f t="shared" si="2"/>
        <v>0.53850150906591809</v>
      </c>
      <c r="H45" s="5">
        <f t="shared" si="3"/>
        <v>0.40933255412396108</v>
      </c>
      <c r="I45" s="5">
        <f t="shared" si="4"/>
        <v>0.5385015090659182</v>
      </c>
      <c r="J45" s="5">
        <v>0.90217391304347805</v>
      </c>
    </row>
    <row r="46" spans="1:10" ht="14.4" x14ac:dyDescent="0.25">
      <c r="A46" s="8" t="s">
        <v>183</v>
      </c>
      <c r="B46" s="4" t="s">
        <v>54</v>
      </c>
      <c r="C46" s="4">
        <v>0.38573848258893101</v>
      </c>
      <c r="D46" s="5">
        <f t="shared" si="0"/>
        <v>0.63669391105350059</v>
      </c>
      <c r="E46" s="5">
        <v>0.168861215125473</v>
      </c>
      <c r="F46" s="5">
        <f t="shared" si="1"/>
        <v>0.27815603520668525</v>
      </c>
      <c r="G46" s="5">
        <f t="shared" si="2"/>
        <v>0.72184396479331481</v>
      </c>
      <c r="H46" s="5">
        <f t="shared" si="3"/>
        <v>0.44535258995939392</v>
      </c>
      <c r="I46" s="5">
        <f t="shared" si="4"/>
        <v>0.72184396479331492</v>
      </c>
      <c r="J46" s="5">
        <v>0.875</v>
      </c>
    </row>
    <row r="47" spans="1:10" ht="14.4" x14ac:dyDescent="0.25">
      <c r="A47" s="8" t="s">
        <v>138</v>
      </c>
      <c r="B47" s="4" t="s">
        <v>55</v>
      </c>
      <c r="C47" s="4">
        <v>0.38640580028260002</v>
      </c>
      <c r="D47" s="5">
        <f t="shared" si="0"/>
        <v>0.63815286844881558</v>
      </c>
      <c r="E47" s="5">
        <v>0.198292254152764</v>
      </c>
      <c r="F47" s="5">
        <f t="shared" si="1"/>
        <v>0.32663620942408339</v>
      </c>
      <c r="G47" s="5">
        <f t="shared" si="2"/>
        <v>0.67336379057591667</v>
      </c>
      <c r="H47" s="5">
        <f t="shared" si="3"/>
        <v>0.43582802236434032</v>
      </c>
      <c r="I47" s="5">
        <f t="shared" si="4"/>
        <v>0.67336379057591667</v>
      </c>
      <c r="J47" s="5">
        <v>0.90497737556560998</v>
      </c>
    </row>
    <row r="48" spans="1:10" ht="14.4" x14ac:dyDescent="0.25">
      <c r="A48" s="8" t="s">
        <v>139</v>
      </c>
      <c r="B48" s="4" t="s">
        <v>56</v>
      </c>
      <c r="C48" s="4">
        <v>0.32176220483685902</v>
      </c>
      <c r="D48" s="5">
        <f t="shared" si="0"/>
        <v>0.49682250581933046</v>
      </c>
      <c r="E48" s="5">
        <v>0.171320868709016</v>
      </c>
      <c r="F48" s="5">
        <f t="shared" si="1"/>
        <v>0.28220769081198133</v>
      </c>
      <c r="G48" s="5">
        <f t="shared" si="2"/>
        <v>0.71779230918801873</v>
      </c>
      <c r="H48" s="5">
        <f t="shared" si="3"/>
        <v>0.44455658894851735</v>
      </c>
      <c r="I48" s="5">
        <f t="shared" si="4"/>
        <v>0.71779230918801873</v>
      </c>
      <c r="J48" s="5">
        <v>0.8</v>
      </c>
    </row>
    <row r="49" spans="1:10" ht="14.4" x14ac:dyDescent="0.25">
      <c r="A49" s="8" t="s">
        <v>140</v>
      </c>
      <c r="B49" s="4" t="s">
        <v>57</v>
      </c>
      <c r="C49" s="4">
        <v>0.349689004365769</v>
      </c>
      <c r="D49" s="5">
        <f t="shared" si="0"/>
        <v>0.55787889782980637</v>
      </c>
      <c r="E49" s="5">
        <v>0.25402940482742298</v>
      </c>
      <c r="F49" s="5">
        <f t="shared" si="1"/>
        <v>0.41844903236190684</v>
      </c>
      <c r="G49" s="5">
        <f t="shared" si="2"/>
        <v>0.58155096763809322</v>
      </c>
      <c r="H49" s="5">
        <f t="shared" si="3"/>
        <v>0.4177901862327581</v>
      </c>
      <c r="I49" s="5">
        <f t="shared" si="4"/>
        <v>0.58155096763809322</v>
      </c>
      <c r="J49" s="5">
        <v>0.66666666666666596</v>
      </c>
    </row>
    <row r="50" spans="1:10" ht="14.4" x14ac:dyDescent="0.25">
      <c r="A50" s="8" t="s">
        <v>141</v>
      </c>
      <c r="B50" s="4" t="s">
        <v>58</v>
      </c>
      <c r="C50" s="4">
        <v>0.30831085329943603</v>
      </c>
      <c r="D50" s="5">
        <f t="shared" si="0"/>
        <v>0.46741380140658845</v>
      </c>
      <c r="E50" s="5">
        <v>0.15622389306599799</v>
      </c>
      <c r="F50" s="5">
        <f t="shared" si="1"/>
        <v>0.25733925145275094</v>
      </c>
      <c r="G50" s="5">
        <f t="shared" si="2"/>
        <v>0.74266074854724906</v>
      </c>
      <c r="H50" s="5">
        <f t="shared" si="3"/>
        <v>0.4494423208066235</v>
      </c>
      <c r="I50" s="5">
        <f t="shared" si="4"/>
        <v>0.74266074854724895</v>
      </c>
      <c r="J50" s="5">
        <v>0.66666666666666596</v>
      </c>
    </row>
    <row r="51" spans="1:10" ht="14.4" x14ac:dyDescent="0.25">
      <c r="A51" s="8" t="s">
        <v>142</v>
      </c>
      <c r="B51" s="4" t="s">
        <v>59</v>
      </c>
      <c r="C51" s="4">
        <v>0.41042065874669598</v>
      </c>
      <c r="D51" s="5">
        <f t="shared" si="0"/>
        <v>0.6906565794788625</v>
      </c>
      <c r="E51" s="5">
        <v>0.21252204585537901</v>
      </c>
      <c r="F51" s="5">
        <f t="shared" si="1"/>
        <v>0.35007618312600952</v>
      </c>
      <c r="G51" s="5">
        <f t="shared" si="2"/>
        <v>0.64992381687399048</v>
      </c>
      <c r="H51" s="5">
        <f t="shared" si="3"/>
        <v>0.43122293136468476</v>
      </c>
      <c r="I51" s="5">
        <f t="shared" si="4"/>
        <v>0.64992381687399059</v>
      </c>
      <c r="J51" s="5">
        <v>0.66666666666666596</v>
      </c>
    </row>
    <row r="52" spans="1:10" ht="14.4" x14ac:dyDescent="0.25">
      <c r="A52" s="8" t="s">
        <v>143</v>
      </c>
      <c r="B52" s="4" t="s">
        <v>60</v>
      </c>
      <c r="C52" s="4">
        <v>0.37407355145909998</v>
      </c>
      <c r="D52" s="5">
        <f t="shared" si="0"/>
        <v>0.61119085950973617</v>
      </c>
      <c r="E52" s="5">
        <v>0.14420216417666401</v>
      </c>
      <c r="F52" s="5">
        <f t="shared" si="1"/>
        <v>0.23753650135586163</v>
      </c>
      <c r="G52" s="5">
        <f t="shared" si="2"/>
        <v>0.76246349864413832</v>
      </c>
      <c r="H52" s="5">
        <f t="shared" si="3"/>
        <v>0.45333283141040115</v>
      </c>
      <c r="I52" s="5">
        <f t="shared" si="4"/>
        <v>0.76246349864413809</v>
      </c>
      <c r="J52" s="5">
        <v>0.85714285714285698</v>
      </c>
    </row>
    <row r="53" spans="1:10" ht="14.4" x14ac:dyDescent="0.25">
      <c r="A53" s="8" t="s">
        <v>144</v>
      </c>
      <c r="B53" s="4" t="s">
        <v>61</v>
      </c>
      <c r="C53" s="4">
        <v>0.31796082929452002</v>
      </c>
      <c r="D53" s="5">
        <f t="shared" si="0"/>
        <v>0.48851155436025556</v>
      </c>
      <c r="E53" s="5">
        <v>0.222701858433133</v>
      </c>
      <c r="F53" s="5">
        <f t="shared" si="1"/>
        <v>0.36684484313873761</v>
      </c>
      <c r="G53" s="5">
        <f t="shared" si="2"/>
        <v>0.63315515686126234</v>
      </c>
      <c r="H53" s="5">
        <f t="shared" si="3"/>
        <v>0.4279285076471977</v>
      </c>
      <c r="I53" s="5">
        <f t="shared" si="4"/>
        <v>0.63315515686126245</v>
      </c>
      <c r="J53" s="5">
        <v>0.66666666666666596</v>
      </c>
    </row>
    <row r="54" spans="1:10" ht="14.4" x14ac:dyDescent="0.25">
      <c r="A54" s="8" t="s">
        <v>145</v>
      </c>
      <c r="B54" s="4" t="s">
        <v>62</v>
      </c>
      <c r="C54" s="4">
        <v>0.30863357463985402</v>
      </c>
      <c r="D54" s="5">
        <f t="shared" si="0"/>
        <v>0.46811936742213955</v>
      </c>
      <c r="E54" s="5">
        <v>0.31578947368421001</v>
      </c>
      <c r="F54" s="5">
        <f t="shared" si="1"/>
        <v>0.52018308582427752</v>
      </c>
      <c r="G54" s="5">
        <f t="shared" si="2"/>
        <v>0.47981691417572248</v>
      </c>
      <c r="H54" s="5">
        <f t="shared" si="3"/>
        <v>0.39780319392996621</v>
      </c>
      <c r="I54" s="5">
        <f t="shared" si="4"/>
        <v>0.47981691417572236</v>
      </c>
      <c r="J54" s="5">
        <v>8.8035019455252897E-2</v>
      </c>
    </row>
    <row r="55" spans="1:10" ht="14.4" x14ac:dyDescent="0.25">
      <c r="A55" s="8" t="s">
        <v>146</v>
      </c>
      <c r="B55" s="4" t="s">
        <v>63</v>
      </c>
      <c r="C55" s="4">
        <v>0.410531859392891</v>
      </c>
      <c r="D55" s="5">
        <f t="shared" si="0"/>
        <v>0.69089969757189251</v>
      </c>
      <c r="E55" s="5">
        <v>0.22352765097657701</v>
      </c>
      <c r="F55" s="5">
        <f t="shared" si="1"/>
        <v>0.368205126964819</v>
      </c>
      <c r="G55" s="5">
        <f t="shared" si="2"/>
        <v>0.631794873035181</v>
      </c>
      <c r="H55" s="5">
        <f t="shared" si="3"/>
        <v>0.42766126200587901</v>
      </c>
      <c r="I55" s="5">
        <f t="shared" si="4"/>
        <v>0.631794873035181</v>
      </c>
      <c r="J55" s="5">
        <v>0.96250000000000002</v>
      </c>
    </row>
    <row r="56" spans="1:10" ht="14.4" x14ac:dyDescent="0.25">
      <c r="A56" s="8" t="s">
        <v>147</v>
      </c>
      <c r="B56" s="4" t="s">
        <v>64</v>
      </c>
      <c r="C56" s="4">
        <v>0.38764990486831702</v>
      </c>
      <c r="D56" s="5">
        <f t="shared" si="0"/>
        <v>0.64087285564996022</v>
      </c>
      <c r="E56" s="5">
        <v>0.20551924473493099</v>
      </c>
      <c r="F56" s="5">
        <f t="shared" si="1"/>
        <v>0.33854084392122302</v>
      </c>
      <c r="G56" s="5">
        <f t="shared" si="2"/>
        <v>0.66145915607877703</v>
      </c>
      <c r="H56" s="5">
        <f t="shared" si="3"/>
        <v>0.43348920040685401</v>
      </c>
      <c r="I56" s="5">
        <f t="shared" si="4"/>
        <v>0.66145915607877714</v>
      </c>
      <c r="J56" s="5">
        <v>0.92307692307692302</v>
      </c>
    </row>
    <row r="57" spans="1:10" ht="14.4" x14ac:dyDescent="0.25">
      <c r="A57" s="8" t="s">
        <v>148</v>
      </c>
      <c r="B57" s="4" t="s">
        <v>65</v>
      </c>
      <c r="C57" s="4">
        <v>0.39329452545976001</v>
      </c>
      <c r="D57" s="5">
        <f t="shared" si="0"/>
        <v>0.65321369575320143</v>
      </c>
      <c r="E57" s="5">
        <v>0.199754404512475</v>
      </c>
      <c r="F57" s="5">
        <f t="shared" si="1"/>
        <v>0.3290447313965863</v>
      </c>
      <c r="G57" s="5">
        <f t="shared" si="2"/>
        <v>0.6709552686034137</v>
      </c>
      <c r="H57" s="5">
        <f t="shared" si="3"/>
        <v>0.43535483655794438</v>
      </c>
      <c r="I57" s="5">
        <f t="shared" si="4"/>
        <v>0.67095526860341381</v>
      </c>
      <c r="J57" s="5">
        <v>0.86666666666666603</v>
      </c>
    </row>
    <row r="58" spans="1:10" ht="14.4" x14ac:dyDescent="0.25">
      <c r="A58" s="8" t="s">
        <v>149</v>
      </c>
      <c r="B58" s="4" t="s">
        <v>66</v>
      </c>
      <c r="C58" s="4">
        <v>0.34529405593168</v>
      </c>
      <c r="D58" s="5">
        <f t="shared" si="0"/>
        <v>0.54827021731560077</v>
      </c>
      <c r="E58" s="5">
        <v>0.25393081761006198</v>
      </c>
      <c r="F58" s="5">
        <f t="shared" si="1"/>
        <v>0.41828663491923285</v>
      </c>
      <c r="G58" s="5">
        <f t="shared" si="2"/>
        <v>0.5817133650807671</v>
      </c>
      <c r="H58" s="5">
        <f t="shared" si="3"/>
        <v>0.41782209134541454</v>
      </c>
      <c r="I58" s="5">
        <f t="shared" si="4"/>
        <v>0.58171336508076699</v>
      </c>
      <c r="J58" s="5">
        <v>0.66666666666666596</v>
      </c>
    </row>
    <row r="59" spans="1:10" ht="14.4" x14ac:dyDescent="0.25">
      <c r="A59" s="8" t="s">
        <v>150</v>
      </c>
      <c r="B59" s="4" t="s">
        <v>67</v>
      </c>
      <c r="C59" s="4">
        <v>0.37441858508845899</v>
      </c>
      <c r="D59" s="5">
        <f t="shared" si="0"/>
        <v>0.61194520690672782</v>
      </c>
      <c r="E59" s="5">
        <v>0.170873396833643</v>
      </c>
      <c r="F59" s="5">
        <f t="shared" si="1"/>
        <v>0.28147059435896954</v>
      </c>
      <c r="G59" s="5">
        <f t="shared" si="2"/>
        <v>0.71852940564103052</v>
      </c>
      <c r="H59" s="5">
        <f t="shared" si="3"/>
        <v>0.44470140123733676</v>
      </c>
      <c r="I59" s="5">
        <f t="shared" si="4"/>
        <v>0.71852940564103052</v>
      </c>
      <c r="J59" s="5">
        <v>0.92</v>
      </c>
    </row>
    <row r="60" spans="1:10" ht="14.4" x14ac:dyDescent="0.25">
      <c r="A60" s="8" t="s">
        <v>151</v>
      </c>
      <c r="B60" s="4" t="s">
        <v>68</v>
      </c>
      <c r="C60" s="4">
        <v>0.30050555906436599</v>
      </c>
      <c r="D60" s="5">
        <f t="shared" si="0"/>
        <v>0.45034907817970365</v>
      </c>
      <c r="E60" s="5">
        <v>0.20551924473493099</v>
      </c>
      <c r="F60" s="5">
        <f t="shared" si="1"/>
        <v>0.33854084392122302</v>
      </c>
      <c r="G60" s="5">
        <f t="shared" si="2"/>
        <v>0.66145915607877703</v>
      </c>
      <c r="H60" s="5">
        <f t="shared" si="3"/>
        <v>0.43348920040685401</v>
      </c>
      <c r="I60" s="5">
        <f t="shared" si="4"/>
        <v>0.66145915607877714</v>
      </c>
      <c r="J60" s="5">
        <v>0.9</v>
      </c>
    </row>
    <row r="61" spans="1:10" ht="14.4" x14ac:dyDescent="0.25">
      <c r="A61" s="8" t="s">
        <v>152</v>
      </c>
      <c r="B61" s="4" t="s">
        <v>69</v>
      </c>
      <c r="C61" s="4">
        <v>0.36521861959081803</v>
      </c>
      <c r="D61" s="5">
        <f t="shared" si="0"/>
        <v>0.59183131239026776</v>
      </c>
      <c r="E61" s="5">
        <v>0.169028390900343</v>
      </c>
      <c r="F61" s="5">
        <f t="shared" si="1"/>
        <v>0.27843141490643386</v>
      </c>
      <c r="G61" s="5">
        <f t="shared" si="2"/>
        <v>0.72156858509356614</v>
      </c>
      <c r="H61" s="5">
        <f t="shared" si="3"/>
        <v>0.4452984879969546</v>
      </c>
      <c r="I61" s="5">
        <f t="shared" si="4"/>
        <v>0.72156858509356625</v>
      </c>
      <c r="J61" s="5">
        <v>0.83783783783783705</v>
      </c>
    </row>
    <row r="62" spans="1:10" ht="14.4" x14ac:dyDescent="0.25">
      <c r="A62" s="8" t="s">
        <v>4</v>
      </c>
      <c r="B62" s="4" t="s">
        <v>70</v>
      </c>
      <c r="C62" s="4">
        <v>0.38609209451007598</v>
      </c>
      <c r="D62" s="5">
        <f t="shared" si="0"/>
        <v>0.63746701317910059</v>
      </c>
      <c r="E62" s="5">
        <v>8.4401081462325098E-2</v>
      </c>
      <c r="F62" s="5">
        <f t="shared" si="1"/>
        <v>0.13902938083959882</v>
      </c>
      <c r="G62" s="5">
        <f t="shared" si="2"/>
        <v>0.86097061916040118</v>
      </c>
      <c r="H62" s="5">
        <f t="shared" si="3"/>
        <v>0.47268585031136312</v>
      </c>
      <c r="I62" s="5">
        <f t="shared" si="4"/>
        <v>0.86097061916040107</v>
      </c>
      <c r="J62" s="5">
        <v>0.66666666666666596</v>
      </c>
    </row>
    <row r="63" spans="1:10" ht="14.4" x14ac:dyDescent="0.25">
      <c r="A63" s="8" t="s">
        <v>153</v>
      </c>
      <c r="B63" s="4" t="s">
        <v>71</v>
      </c>
      <c r="C63" s="4">
        <v>0.32732283959229302</v>
      </c>
      <c r="D63" s="5">
        <f t="shared" si="0"/>
        <v>0.50897972759848176</v>
      </c>
      <c r="E63" s="5">
        <v>0.14116652578191</v>
      </c>
      <c r="F63" s="5">
        <f t="shared" si="1"/>
        <v>0.23253605682170059</v>
      </c>
      <c r="G63" s="5">
        <f t="shared" si="2"/>
        <v>0.76746394317829947</v>
      </c>
      <c r="H63" s="5">
        <f t="shared" si="3"/>
        <v>0.45431523448010475</v>
      </c>
      <c r="I63" s="5">
        <f t="shared" si="4"/>
        <v>0.76746394317829958</v>
      </c>
      <c r="J63" s="5">
        <v>0.83333333333333304</v>
      </c>
    </row>
    <row r="64" spans="1:10" ht="14.4" x14ac:dyDescent="0.25">
      <c r="A64" s="8" t="s">
        <v>154</v>
      </c>
      <c r="B64" s="4" t="s">
        <v>72</v>
      </c>
      <c r="C64" s="4">
        <v>0.27887290112180502</v>
      </c>
      <c r="D64" s="5">
        <f t="shared" si="0"/>
        <v>0.4030535747260327</v>
      </c>
      <c r="E64" s="5">
        <v>0.30360934182590199</v>
      </c>
      <c r="F64" s="5">
        <f t="shared" si="1"/>
        <v>0.50011940700090685</v>
      </c>
      <c r="G64" s="5">
        <f t="shared" si="2"/>
        <v>0.49988059299909315</v>
      </c>
      <c r="H64" s="5">
        <f t="shared" si="3"/>
        <v>0.40174496741249754</v>
      </c>
      <c r="I64" s="5">
        <f t="shared" si="4"/>
        <v>0.49988059299909304</v>
      </c>
      <c r="J64" s="5">
        <v>0.66666666666666596</v>
      </c>
    </row>
    <row r="65" spans="1:10" ht="14.4" x14ac:dyDescent="0.25">
      <c r="A65" s="8" t="s">
        <v>184</v>
      </c>
      <c r="B65" s="4" t="s">
        <v>73</v>
      </c>
      <c r="C65" s="4">
        <v>0.27188424996335098</v>
      </c>
      <c r="D65" s="5">
        <f t="shared" si="0"/>
        <v>0.38777427914068241</v>
      </c>
      <c r="E65" s="5">
        <v>0.29755605946082098</v>
      </c>
      <c r="F65" s="5">
        <f t="shared" si="1"/>
        <v>0.49014815918413401</v>
      </c>
      <c r="G65" s="5">
        <f t="shared" si="2"/>
        <v>0.50985184081586599</v>
      </c>
      <c r="H65" s="5">
        <f t="shared" si="3"/>
        <v>0.40370395013834348</v>
      </c>
      <c r="I65" s="5">
        <f t="shared" si="4"/>
        <v>0.50985184081586599</v>
      </c>
      <c r="J65" s="5">
        <v>0.66666666666666596</v>
      </c>
    </row>
    <row r="66" spans="1:10" ht="14.4" x14ac:dyDescent="0.25">
      <c r="A66" s="8" t="s">
        <v>108</v>
      </c>
      <c r="B66" s="4" t="s">
        <v>74</v>
      </c>
      <c r="C66" s="4">
        <v>0.24210938213189101</v>
      </c>
      <c r="D66" s="5">
        <f t="shared" si="0"/>
        <v>0.32267745340181525</v>
      </c>
      <c r="E66" s="5">
        <v>0.45456468845869002</v>
      </c>
      <c r="F66" s="5">
        <f t="shared" si="1"/>
        <v>0.74878006410577824</v>
      </c>
      <c r="G66" s="5">
        <f t="shared" si="2"/>
        <v>0.25121993589422176</v>
      </c>
      <c r="H66" s="5">
        <f t="shared" si="3"/>
        <v>0.35289231217645589</v>
      </c>
      <c r="I66" s="5">
        <f t="shared" si="4"/>
        <v>0.25121993589422176</v>
      </c>
      <c r="J66" s="5">
        <v>0.66666666666666596</v>
      </c>
    </row>
    <row r="67" spans="1:10" ht="14.4" x14ac:dyDescent="0.25">
      <c r="A67" s="8" t="s">
        <v>155</v>
      </c>
      <c r="B67" s="4" t="s">
        <v>75</v>
      </c>
      <c r="C67" s="4">
        <v>0.40343131826741901</v>
      </c>
      <c r="D67" s="5">
        <f t="shared" ref="D67:D95" si="5">(C67-$C$99)/($C$101-$C$99)</f>
        <v>0.67537577683065164</v>
      </c>
      <c r="E67" s="5">
        <v>0.17059145673603501</v>
      </c>
      <c r="F67" s="5">
        <f t="shared" ref="F67:F95" si="6">(E67-$E$99)/($E$101-$E$99)</f>
        <v>0.28100616953733032</v>
      </c>
      <c r="G67" s="5">
        <f t="shared" ref="G67:G95" si="7">1-F67</f>
        <v>0.71899383046266974</v>
      </c>
      <c r="H67" s="5">
        <f t="shared" ref="H67:H95" si="8">(E67+G67)/2</f>
        <v>0.44479264359935239</v>
      </c>
      <c r="I67" s="5">
        <f t="shared" ref="I67:I95" si="9">(H67-$H$99)/($H$101-$H$99)</f>
        <v>0.71899383046266996</v>
      </c>
      <c r="J67" s="5">
        <v>0.66666666666666596</v>
      </c>
    </row>
    <row r="68" spans="1:10" ht="14.4" x14ac:dyDescent="0.25">
      <c r="A68" s="8" t="s">
        <v>185</v>
      </c>
      <c r="B68" s="4" t="s">
        <v>76</v>
      </c>
      <c r="C68" s="4">
        <v>9.4518798133649995E-2</v>
      </c>
      <c r="D68" s="5">
        <f t="shared" si="5"/>
        <v>0</v>
      </c>
      <c r="E68" s="5">
        <v>8.6956521739130405E-2</v>
      </c>
      <c r="F68" s="5">
        <f t="shared" si="6"/>
        <v>0.14323882073422153</v>
      </c>
      <c r="G68" s="5">
        <f t="shared" si="7"/>
        <v>0.85676117926577844</v>
      </c>
      <c r="H68" s="5">
        <f t="shared" si="8"/>
        <v>0.47185885050245441</v>
      </c>
      <c r="I68" s="5">
        <f t="shared" si="9"/>
        <v>0.85676117926577833</v>
      </c>
      <c r="J68" s="5">
        <v>7.0779712339137005E-2</v>
      </c>
    </row>
    <row r="69" spans="1:10" ht="14.4" x14ac:dyDescent="0.25">
      <c r="A69" s="8" t="s">
        <v>5</v>
      </c>
      <c r="B69" s="4" t="s">
        <v>77</v>
      </c>
      <c r="C69" s="4">
        <v>0.21440806672641</v>
      </c>
      <c r="D69" s="5">
        <f t="shared" si="5"/>
        <v>0.26211403757423357</v>
      </c>
      <c r="E69" s="5">
        <v>0.117318435754189</v>
      </c>
      <c r="F69" s="5">
        <f t="shared" si="6"/>
        <v>0.19325237545985607</v>
      </c>
      <c r="G69" s="5">
        <f t="shared" si="7"/>
        <v>0.80674762454014393</v>
      </c>
      <c r="H69" s="5">
        <f t="shared" si="8"/>
        <v>0.46203303014716646</v>
      </c>
      <c r="I69" s="5">
        <f t="shared" si="9"/>
        <v>0.80674762454014393</v>
      </c>
      <c r="J69" s="5">
        <v>0.17524115755627001</v>
      </c>
    </row>
    <row r="70" spans="1:10" ht="14.4" x14ac:dyDescent="0.25">
      <c r="A70" s="8" t="s">
        <v>156</v>
      </c>
      <c r="B70" s="4" t="s">
        <v>78</v>
      </c>
      <c r="C70" s="4">
        <v>0.35016233091096799</v>
      </c>
      <c r="D70" s="5">
        <f t="shared" si="5"/>
        <v>0.55891373216743667</v>
      </c>
      <c r="E70" s="5">
        <v>0.16698421339139899</v>
      </c>
      <c r="F70" s="5">
        <f t="shared" si="6"/>
        <v>0.27506415078527946</v>
      </c>
      <c r="G70" s="5">
        <f t="shared" si="7"/>
        <v>0.72493584921472054</v>
      </c>
      <c r="H70" s="5">
        <f t="shared" si="8"/>
        <v>0.44596003130305978</v>
      </c>
      <c r="I70" s="5">
        <f t="shared" si="9"/>
        <v>0.72493584921472054</v>
      </c>
      <c r="J70" s="5">
        <v>0.66666666666666596</v>
      </c>
    </row>
    <row r="71" spans="1:10" ht="14.4" x14ac:dyDescent="0.25">
      <c r="A71" s="8" t="s">
        <v>157</v>
      </c>
      <c r="B71" s="4" t="s">
        <v>79</v>
      </c>
      <c r="C71" s="4">
        <v>9.4518798133649995E-2</v>
      </c>
      <c r="D71" s="5">
        <f t="shared" si="5"/>
        <v>0</v>
      </c>
      <c r="E71" s="5">
        <v>0.30718954248365998</v>
      </c>
      <c r="F71" s="5">
        <f t="shared" si="6"/>
        <v>0.506016879783312</v>
      </c>
      <c r="G71" s="5">
        <f t="shared" si="7"/>
        <v>0.493983120216688</v>
      </c>
      <c r="H71" s="5">
        <f t="shared" si="8"/>
        <v>0.40058633135017396</v>
      </c>
      <c r="I71" s="5">
        <f t="shared" si="9"/>
        <v>0.49398312021668783</v>
      </c>
      <c r="J71" s="5">
        <v>0.90192989365891996</v>
      </c>
    </row>
    <row r="72" spans="1:10" ht="14.4" x14ac:dyDescent="0.25">
      <c r="A72" s="8" t="s">
        <v>158</v>
      </c>
      <c r="B72" s="4" t="s">
        <v>80</v>
      </c>
      <c r="C72" s="4">
        <v>0.34072879972304798</v>
      </c>
      <c r="D72" s="5">
        <f t="shared" si="5"/>
        <v>0.53828919272973852</v>
      </c>
      <c r="E72" s="5">
        <v>0.128273582506992</v>
      </c>
      <c r="F72" s="5">
        <f t="shared" si="6"/>
        <v>0.21129820193103721</v>
      </c>
      <c r="G72" s="5">
        <f t="shared" si="7"/>
        <v>0.78870179806896279</v>
      </c>
      <c r="H72" s="5">
        <f t="shared" si="8"/>
        <v>0.45848769028797742</v>
      </c>
      <c r="I72" s="5">
        <f t="shared" si="9"/>
        <v>0.7887017980689629</v>
      </c>
      <c r="J72" s="5">
        <v>0.66666666666666596</v>
      </c>
    </row>
    <row r="73" spans="1:10" ht="14.4" x14ac:dyDescent="0.25">
      <c r="A73" s="8" t="s">
        <v>159</v>
      </c>
      <c r="B73" s="4" t="s">
        <v>81</v>
      </c>
      <c r="C73" s="4">
        <v>0.142765271235963</v>
      </c>
      <c r="D73" s="5">
        <f t="shared" si="5"/>
        <v>0.10548131631797782</v>
      </c>
      <c r="E73" s="5">
        <v>0</v>
      </c>
      <c r="F73" s="5">
        <f t="shared" si="6"/>
        <v>0</v>
      </c>
      <c r="G73" s="5">
        <f t="shared" si="7"/>
        <v>1</v>
      </c>
      <c r="H73" s="5">
        <f t="shared" si="8"/>
        <v>0.5</v>
      </c>
      <c r="I73" s="5">
        <f t="shared" si="9"/>
        <v>1</v>
      </c>
      <c r="J73" s="5">
        <v>1.2987012987012899E-2</v>
      </c>
    </row>
    <row r="74" spans="1:10" ht="14.4" x14ac:dyDescent="0.25">
      <c r="A74" s="8" t="s">
        <v>160</v>
      </c>
      <c r="B74" s="4" t="s">
        <v>82</v>
      </c>
      <c r="C74" s="4">
        <v>0.38095727053766298</v>
      </c>
      <c r="D74" s="5">
        <f t="shared" si="5"/>
        <v>0.62624074197534574</v>
      </c>
      <c r="E74" s="5">
        <v>0.204863001270186</v>
      </c>
      <c r="F74" s="5">
        <f t="shared" si="6"/>
        <v>0.33745984921117</v>
      </c>
      <c r="G74" s="5">
        <f t="shared" si="7"/>
        <v>0.66254015078883</v>
      </c>
      <c r="H74" s="5">
        <f t="shared" si="8"/>
        <v>0.43370157602950798</v>
      </c>
      <c r="I74" s="5">
        <f t="shared" si="9"/>
        <v>0.66254015078882988</v>
      </c>
      <c r="J74" s="5">
        <v>0.75</v>
      </c>
    </row>
    <row r="75" spans="1:10" ht="14.4" x14ac:dyDescent="0.25">
      <c r="A75" s="8" t="s">
        <v>186</v>
      </c>
      <c r="B75" s="4" t="s">
        <v>83</v>
      </c>
      <c r="C75" s="4">
        <v>0.32416448936106401</v>
      </c>
      <c r="D75" s="5">
        <f t="shared" si="5"/>
        <v>0.50207462307246287</v>
      </c>
      <c r="E75" s="5">
        <v>0.14689451199474199</v>
      </c>
      <c r="F75" s="5">
        <f t="shared" si="6"/>
        <v>0.24197146171024184</v>
      </c>
      <c r="G75" s="5">
        <f t="shared" si="7"/>
        <v>0.75802853828975814</v>
      </c>
      <c r="H75" s="5">
        <f t="shared" si="8"/>
        <v>0.45246152514225008</v>
      </c>
      <c r="I75" s="5">
        <f t="shared" si="9"/>
        <v>0.75802853828975814</v>
      </c>
      <c r="J75" s="5">
        <v>0.66666666666666596</v>
      </c>
    </row>
    <row r="76" spans="1:10" ht="14.4" x14ac:dyDescent="0.25">
      <c r="A76" s="8" t="s">
        <v>161</v>
      </c>
      <c r="B76" s="4" t="s">
        <v>84</v>
      </c>
      <c r="C76" s="4">
        <v>0.36442788080293698</v>
      </c>
      <c r="D76" s="5">
        <f t="shared" si="5"/>
        <v>0.59010251932320779</v>
      </c>
      <c r="E76" s="5">
        <v>0.23475609756097501</v>
      </c>
      <c r="F76" s="5">
        <f t="shared" si="6"/>
        <v>0.38670114561022223</v>
      </c>
      <c r="G76" s="5">
        <f t="shared" si="7"/>
        <v>0.61329885438977771</v>
      </c>
      <c r="H76" s="5">
        <f t="shared" si="8"/>
        <v>0.42402747597537638</v>
      </c>
      <c r="I76" s="5">
        <f t="shared" si="9"/>
        <v>0.61329885438977771</v>
      </c>
      <c r="J76" s="5">
        <v>0.75</v>
      </c>
    </row>
    <row r="77" spans="1:10" ht="14.4" x14ac:dyDescent="0.25">
      <c r="A77" s="8" t="s">
        <v>162</v>
      </c>
      <c r="B77" s="4" t="s">
        <v>85</v>
      </c>
      <c r="C77" s="4">
        <v>0.39149763507565</v>
      </c>
      <c r="D77" s="5">
        <f t="shared" si="5"/>
        <v>0.64928515236324003</v>
      </c>
      <c r="E77" s="5">
        <v>0.20551924473493099</v>
      </c>
      <c r="F77" s="5">
        <f t="shared" si="6"/>
        <v>0.33854084392122302</v>
      </c>
      <c r="G77" s="5">
        <f t="shared" si="7"/>
        <v>0.66145915607877703</v>
      </c>
      <c r="H77" s="5">
        <f t="shared" si="8"/>
        <v>0.43348920040685401</v>
      </c>
      <c r="I77" s="5">
        <f t="shared" si="9"/>
        <v>0.66145915607877714</v>
      </c>
      <c r="J77" s="5">
        <v>0.43137254901960698</v>
      </c>
    </row>
    <row r="78" spans="1:10" ht="14.4" x14ac:dyDescent="0.25">
      <c r="A78" s="8" t="s">
        <v>187</v>
      </c>
      <c r="B78" s="4" t="s">
        <v>86</v>
      </c>
      <c r="C78" s="4">
        <v>0.43797016726142202</v>
      </c>
      <c r="D78" s="5">
        <f t="shared" si="5"/>
        <v>0.75088809973702053</v>
      </c>
      <c r="E78" s="5">
        <v>0.21635610766045499</v>
      </c>
      <c r="F78" s="5">
        <f t="shared" si="6"/>
        <v>0.35639182777919337</v>
      </c>
      <c r="G78" s="5">
        <f t="shared" si="7"/>
        <v>0.64360817222080668</v>
      </c>
      <c r="H78" s="5">
        <f t="shared" si="8"/>
        <v>0.42998213994063084</v>
      </c>
      <c r="I78" s="5">
        <f t="shared" si="9"/>
        <v>0.6436081722208068</v>
      </c>
      <c r="J78" s="5">
        <v>0.66666666666666596</v>
      </c>
    </row>
    <row r="79" spans="1:10" ht="14.4" x14ac:dyDescent="0.25">
      <c r="A79" s="8" t="s">
        <v>163</v>
      </c>
      <c r="B79" s="4" t="s">
        <v>87</v>
      </c>
      <c r="C79" s="4">
        <v>0.327114475779478</v>
      </c>
      <c r="D79" s="5">
        <f t="shared" si="5"/>
        <v>0.50852418156919676</v>
      </c>
      <c r="E79" s="5">
        <v>0.12066800602712199</v>
      </c>
      <c r="F79" s="5">
        <f t="shared" si="6"/>
        <v>0.19876994316226132</v>
      </c>
      <c r="G79" s="5">
        <f t="shared" si="7"/>
        <v>0.80123005683773862</v>
      </c>
      <c r="H79" s="5">
        <f t="shared" si="8"/>
        <v>0.46094903143243032</v>
      </c>
      <c r="I79" s="5">
        <f t="shared" si="9"/>
        <v>0.80123005683773862</v>
      </c>
      <c r="J79" s="5">
        <v>0.66666666666666596</v>
      </c>
    </row>
    <row r="80" spans="1:10" ht="14.4" x14ac:dyDescent="0.25">
      <c r="A80" s="8" t="s">
        <v>164</v>
      </c>
      <c r="B80" s="4" t="s">
        <v>88</v>
      </c>
      <c r="C80" s="4">
        <v>0.348681737006101</v>
      </c>
      <c r="D80" s="5">
        <f t="shared" si="5"/>
        <v>0.55567670811209169</v>
      </c>
      <c r="E80" s="5">
        <v>0.227409638554216</v>
      </c>
      <c r="F80" s="5">
        <f t="shared" si="6"/>
        <v>0.37459971717616691</v>
      </c>
      <c r="G80" s="5">
        <f t="shared" si="7"/>
        <v>0.62540028282383309</v>
      </c>
      <c r="H80" s="5">
        <f t="shared" si="8"/>
        <v>0.42640496068902456</v>
      </c>
      <c r="I80" s="5">
        <f t="shared" si="9"/>
        <v>0.6254002828238332</v>
      </c>
      <c r="J80" s="5">
        <v>0.96153846153846101</v>
      </c>
    </row>
    <row r="81" spans="1:10" ht="14.4" x14ac:dyDescent="0.25">
      <c r="A81" s="8" t="s">
        <v>165</v>
      </c>
      <c r="B81" s="4" t="s">
        <v>89</v>
      </c>
      <c r="C81" s="4">
        <v>0.340023507231136</v>
      </c>
      <c r="D81" s="5">
        <f t="shared" si="5"/>
        <v>0.53674721099195855</v>
      </c>
      <c r="E81" s="5">
        <v>0.20855849277055599</v>
      </c>
      <c r="F81" s="5">
        <f t="shared" si="6"/>
        <v>0.34354723442345286</v>
      </c>
      <c r="G81" s="5">
        <f t="shared" si="7"/>
        <v>0.65645276557654708</v>
      </c>
      <c r="H81" s="5">
        <f t="shared" si="8"/>
        <v>0.43250562917355151</v>
      </c>
      <c r="I81" s="5">
        <f t="shared" si="9"/>
        <v>0.65645276557654686</v>
      </c>
      <c r="J81" s="5">
        <v>0.66666666666666596</v>
      </c>
    </row>
    <row r="82" spans="1:10" ht="14.4" x14ac:dyDescent="0.25">
      <c r="A82" s="8" t="s">
        <v>6</v>
      </c>
      <c r="B82" s="4" t="s">
        <v>90</v>
      </c>
      <c r="C82" s="4">
        <v>0.385094356938189</v>
      </c>
      <c r="D82" s="5">
        <f t="shared" si="5"/>
        <v>0.63528565844671714</v>
      </c>
      <c r="E82" s="5">
        <v>0.126475334620131</v>
      </c>
      <c r="F82" s="5">
        <f t="shared" si="6"/>
        <v>0.20833604450396678</v>
      </c>
      <c r="G82" s="5">
        <f t="shared" si="7"/>
        <v>0.79166395549603319</v>
      </c>
      <c r="H82" s="5">
        <f t="shared" si="8"/>
        <v>0.45906964505808212</v>
      </c>
      <c r="I82" s="5">
        <f t="shared" si="9"/>
        <v>0.7916639554960333</v>
      </c>
      <c r="J82" s="5">
        <v>0.66666666666666596</v>
      </c>
    </row>
    <row r="83" spans="1:10" ht="14.4" x14ac:dyDescent="0.25">
      <c r="A83" s="8" t="s">
        <v>166</v>
      </c>
      <c r="B83" s="4" t="s">
        <v>91</v>
      </c>
      <c r="C83" s="4">
        <v>0.38634513145203297</v>
      </c>
      <c r="D83" s="5">
        <f t="shared" si="5"/>
        <v>0.63802022811893877</v>
      </c>
      <c r="E83" s="5">
        <v>0.15551115551115499</v>
      </c>
      <c r="F83" s="5">
        <f t="shared" si="6"/>
        <v>0.25616519705399082</v>
      </c>
      <c r="G83" s="5">
        <f t="shared" si="7"/>
        <v>0.74383480294600912</v>
      </c>
      <c r="H83" s="5">
        <f t="shared" si="8"/>
        <v>0.44967297922858207</v>
      </c>
      <c r="I83" s="5">
        <f t="shared" si="9"/>
        <v>0.74383480294600912</v>
      </c>
      <c r="J83" s="5">
        <v>0.66666666666666596</v>
      </c>
    </row>
    <row r="84" spans="1:10" ht="14.4" x14ac:dyDescent="0.25">
      <c r="A84" s="8" t="s">
        <v>167</v>
      </c>
      <c r="B84" s="4" t="s">
        <v>92</v>
      </c>
      <c r="C84" s="4">
        <v>0.29004056146171298</v>
      </c>
      <c r="D84" s="5">
        <f t="shared" si="5"/>
        <v>0.42746944260403291</v>
      </c>
      <c r="E84" s="5">
        <v>0.159663865546218</v>
      </c>
      <c r="F84" s="5">
        <f t="shared" si="6"/>
        <v>0.26300573386913717</v>
      </c>
      <c r="G84" s="5">
        <f t="shared" si="7"/>
        <v>0.73699426613086283</v>
      </c>
      <c r="H84" s="5">
        <f t="shared" si="8"/>
        <v>0.44832906583854043</v>
      </c>
      <c r="I84" s="5">
        <f t="shared" si="9"/>
        <v>0.73699426613086294</v>
      </c>
      <c r="J84" s="5">
        <v>0.66666666666666596</v>
      </c>
    </row>
    <row r="85" spans="1:10" ht="14.4" x14ac:dyDescent="0.25">
      <c r="A85" s="8" t="s">
        <v>168</v>
      </c>
      <c r="B85" s="4" t="s">
        <v>93</v>
      </c>
      <c r="C85" s="4">
        <v>0.322958111227168</v>
      </c>
      <c r="D85" s="5">
        <f t="shared" si="5"/>
        <v>0.49943711725373235</v>
      </c>
      <c r="E85" s="5">
        <v>0.14885772598590999</v>
      </c>
      <c r="F85" s="5">
        <f t="shared" si="6"/>
        <v>0.24520535896509585</v>
      </c>
      <c r="G85" s="5">
        <f t="shared" si="7"/>
        <v>0.75479464103490412</v>
      </c>
      <c r="H85" s="5">
        <f t="shared" si="8"/>
        <v>0.45182618351040704</v>
      </c>
      <c r="I85" s="5">
        <f t="shared" si="9"/>
        <v>0.75479464103490401</v>
      </c>
      <c r="J85" s="5">
        <v>0.66666666666666596</v>
      </c>
    </row>
    <row r="86" spans="1:10" ht="14.4" x14ac:dyDescent="0.25">
      <c r="A86" s="8" t="s">
        <v>169</v>
      </c>
      <c r="B86" s="4" t="s">
        <v>94</v>
      </c>
      <c r="C86" s="4">
        <v>0.36619018752534899</v>
      </c>
      <c r="D86" s="5">
        <f t="shared" si="5"/>
        <v>0.59395545241619963</v>
      </c>
      <c r="E86" s="5">
        <v>0.21252204585537901</v>
      </c>
      <c r="F86" s="5">
        <f t="shared" si="6"/>
        <v>0.35007618312600952</v>
      </c>
      <c r="G86" s="5">
        <f t="shared" si="7"/>
        <v>0.64992381687399048</v>
      </c>
      <c r="H86" s="5">
        <f t="shared" si="8"/>
        <v>0.43122293136468476</v>
      </c>
      <c r="I86" s="5">
        <f t="shared" si="9"/>
        <v>0.64992381687399059</v>
      </c>
      <c r="J86" s="5">
        <v>0.66666666666666596</v>
      </c>
    </row>
    <row r="87" spans="1:10" ht="14.4" x14ac:dyDescent="0.25">
      <c r="A87" s="8" t="s">
        <v>170</v>
      </c>
      <c r="B87" s="4" t="s">
        <v>95</v>
      </c>
      <c r="C87" s="4">
        <v>0.43909684633477702</v>
      </c>
      <c r="D87" s="5">
        <f t="shared" si="5"/>
        <v>0.75335135941350262</v>
      </c>
      <c r="E87" s="5">
        <v>0.26546906187624703</v>
      </c>
      <c r="F87" s="5">
        <f t="shared" si="6"/>
        <v>0.43729296669259787</v>
      </c>
      <c r="G87" s="5">
        <f t="shared" si="7"/>
        <v>0.56270703330740213</v>
      </c>
      <c r="H87" s="5">
        <f t="shared" si="8"/>
        <v>0.4140880475918246</v>
      </c>
      <c r="I87" s="5">
        <f t="shared" si="9"/>
        <v>0.56270703330740224</v>
      </c>
      <c r="J87" s="5">
        <v>0.875</v>
      </c>
    </row>
    <row r="88" spans="1:10" ht="14.4" x14ac:dyDescent="0.25">
      <c r="A88" s="8" t="s">
        <v>171</v>
      </c>
      <c r="B88" s="4" t="s">
        <v>96</v>
      </c>
      <c r="C88" s="4">
        <v>0.31222555403362401</v>
      </c>
      <c r="D88" s="5">
        <f t="shared" si="5"/>
        <v>0.4759725158551541</v>
      </c>
      <c r="E88" s="5">
        <v>0.27804917465204898</v>
      </c>
      <c r="F88" s="5">
        <f t="shared" si="6"/>
        <v>0.45801551265775581</v>
      </c>
      <c r="G88" s="5">
        <f t="shared" si="7"/>
        <v>0.54198448734224414</v>
      </c>
      <c r="H88" s="5">
        <f t="shared" si="8"/>
        <v>0.41001683099714659</v>
      </c>
      <c r="I88" s="5">
        <f t="shared" si="9"/>
        <v>0.54198448734224425</v>
      </c>
      <c r="J88" s="5">
        <v>0.66666666666666596</v>
      </c>
    </row>
    <row r="89" spans="1:10" ht="14.4" x14ac:dyDescent="0.25">
      <c r="A89" s="8" t="s">
        <v>188</v>
      </c>
      <c r="B89" s="4" t="s">
        <v>97</v>
      </c>
      <c r="C89" s="4">
        <v>0.38720446801212299</v>
      </c>
      <c r="D89" s="5">
        <f t="shared" si="5"/>
        <v>0.63989899656956173</v>
      </c>
      <c r="E89" s="5">
        <v>0.17472784897340499</v>
      </c>
      <c r="F89" s="5">
        <f t="shared" si="6"/>
        <v>0.28781982691834357</v>
      </c>
      <c r="G89" s="5">
        <f t="shared" si="7"/>
        <v>0.71218017308165638</v>
      </c>
      <c r="H89" s="5">
        <f t="shared" si="8"/>
        <v>0.44345401102753068</v>
      </c>
      <c r="I89" s="5">
        <f t="shared" si="9"/>
        <v>0.71218017308165626</v>
      </c>
      <c r="J89" s="5">
        <v>0.53333333333333299</v>
      </c>
    </row>
    <row r="90" spans="1:10" ht="14.4" x14ac:dyDescent="0.25">
      <c r="A90" s="8" t="s">
        <v>172</v>
      </c>
      <c r="B90" s="4" t="s">
        <v>98</v>
      </c>
      <c r="C90" s="4">
        <v>0.31111779501744702</v>
      </c>
      <c r="D90" s="5">
        <f t="shared" si="5"/>
        <v>0.47355062112014074</v>
      </c>
      <c r="E90" s="5">
        <v>0.115253184218701</v>
      </c>
      <c r="F90" s="5">
        <f t="shared" si="6"/>
        <v>0.18985039722353339</v>
      </c>
      <c r="G90" s="5">
        <f t="shared" si="7"/>
        <v>0.81014960277646664</v>
      </c>
      <c r="H90" s="5">
        <f t="shared" si="8"/>
        <v>0.46270139349758382</v>
      </c>
      <c r="I90" s="5">
        <f t="shared" si="9"/>
        <v>0.81014960277646675</v>
      </c>
      <c r="J90" s="5">
        <v>0.66666666666666596</v>
      </c>
    </row>
    <row r="91" spans="1:10" ht="14.4" x14ac:dyDescent="0.25">
      <c r="A91" s="8" t="s">
        <v>173</v>
      </c>
      <c r="B91" s="4" t="s">
        <v>99</v>
      </c>
      <c r="C91" s="4">
        <v>0.23884223951135</v>
      </c>
      <c r="D91" s="5">
        <f t="shared" si="5"/>
        <v>0.31553449595739402</v>
      </c>
      <c r="E91" s="5">
        <v>0.39217866292840903</v>
      </c>
      <c r="F91" s="5">
        <f t="shared" si="6"/>
        <v>0.64601490574237463</v>
      </c>
      <c r="G91" s="5">
        <f t="shared" si="7"/>
        <v>0.35398509425762537</v>
      </c>
      <c r="H91" s="5">
        <f t="shared" si="8"/>
        <v>0.37308187859301722</v>
      </c>
      <c r="I91" s="5">
        <f t="shared" si="9"/>
        <v>0.35398509425762548</v>
      </c>
      <c r="J91" s="5">
        <v>0.66666666666666596</v>
      </c>
    </row>
    <row r="92" spans="1:10" ht="14.4" x14ac:dyDescent="0.25">
      <c r="A92" s="8" t="s">
        <v>174</v>
      </c>
      <c r="B92" s="4" t="s">
        <v>100</v>
      </c>
      <c r="C92" s="4">
        <v>0.35869320495774198</v>
      </c>
      <c r="D92" s="5">
        <f t="shared" si="5"/>
        <v>0.57756479132130167</v>
      </c>
      <c r="E92" s="5">
        <v>0.12087912087912001</v>
      </c>
      <c r="F92" s="5">
        <f t="shared" si="6"/>
        <v>0.19911770135031759</v>
      </c>
      <c r="G92" s="5">
        <f t="shared" si="7"/>
        <v>0.80088229864968241</v>
      </c>
      <c r="H92" s="5">
        <f t="shared" si="8"/>
        <v>0.46088070976440121</v>
      </c>
      <c r="I92" s="5">
        <f t="shared" si="9"/>
        <v>0.80088229864968241</v>
      </c>
      <c r="J92" s="5">
        <v>0.66666666666666596</v>
      </c>
    </row>
    <row r="93" spans="1:10" ht="14.4" x14ac:dyDescent="0.25">
      <c r="A93" s="8" t="s">
        <v>175</v>
      </c>
      <c r="B93" s="4" t="s">
        <v>101</v>
      </c>
      <c r="C93" s="4">
        <v>0.39096170800842001</v>
      </c>
      <c r="D93" s="5">
        <f t="shared" si="5"/>
        <v>0.64811345443659629</v>
      </c>
      <c r="E93" s="5">
        <v>0.1877907796419</v>
      </c>
      <c r="F93" s="5">
        <f t="shared" si="6"/>
        <v>0.30933769293765695</v>
      </c>
      <c r="G93" s="5">
        <f t="shared" si="7"/>
        <v>0.69066230706234299</v>
      </c>
      <c r="H93" s="5">
        <f t="shared" si="8"/>
        <v>0.43922654335212152</v>
      </c>
      <c r="I93" s="5">
        <f t="shared" si="9"/>
        <v>0.69066230706234311</v>
      </c>
      <c r="J93" s="5">
        <v>0.66666666666666596</v>
      </c>
    </row>
    <row r="94" spans="1:10" ht="14.4" x14ac:dyDescent="0.25">
      <c r="A94" s="8" t="s">
        <v>189</v>
      </c>
      <c r="B94" s="4" t="s">
        <v>102</v>
      </c>
      <c r="C94" s="4">
        <v>0.43822353181956097</v>
      </c>
      <c r="D94" s="5">
        <f t="shared" si="5"/>
        <v>0.7514420309444716</v>
      </c>
      <c r="E94" s="5">
        <v>0.18003341687552199</v>
      </c>
      <c r="F94" s="5">
        <f t="shared" si="6"/>
        <v>0.2965594047490262</v>
      </c>
      <c r="G94" s="5">
        <f t="shared" si="7"/>
        <v>0.7034405952509738</v>
      </c>
      <c r="H94" s="5">
        <f t="shared" si="8"/>
        <v>0.44173700606324789</v>
      </c>
      <c r="I94" s="5">
        <f t="shared" si="9"/>
        <v>0.7034405952509738</v>
      </c>
      <c r="J94" s="5">
        <v>0.96428571428571397</v>
      </c>
    </row>
    <row r="95" spans="1:10" ht="14.4" x14ac:dyDescent="0.25">
      <c r="A95" s="8" t="s">
        <v>176</v>
      </c>
      <c r="B95" s="4" t="s">
        <v>103</v>
      </c>
      <c r="C95" s="4">
        <v>0.28033505097262201</v>
      </c>
      <c r="D95" s="5">
        <f t="shared" si="5"/>
        <v>0.40625027452606255</v>
      </c>
      <c r="E95" s="5">
        <v>0.27435064935064901</v>
      </c>
      <c r="F95" s="5">
        <f t="shared" si="6"/>
        <v>0.45192313002753137</v>
      </c>
      <c r="G95" s="5">
        <f t="shared" si="7"/>
        <v>0.54807686997246863</v>
      </c>
      <c r="H95" s="5">
        <f t="shared" si="8"/>
        <v>0.41121375966155882</v>
      </c>
      <c r="I95" s="5">
        <f t="shared" si="9"/>
        <v>0.54807686997246863</v>
      </c>
      <c r="J95" s="5">
        <v>0.66666666666666596</v>
      </c>
    </row>
    <row r="98" spans="3:8" x14ac:dyDescent="0.25">
      <c r="C98" s="4" t="s">
        <v>8</v>
      </c>
      <c r="D98" s="4"/>
      <c r="E98" s="4" t="s">
        <v>8</v>
      </c>
      <c r="H98" s="4" t="s">
        <v>8</v>
      </c>
    </row>
    <row r="99" spans="3:8" x14ac:dyDescent="0.25">
      <c r="C99" s="3">
        <f>MIN(C2:C95)</f>
        <v>9.4518798133649995E-2</v>
      </c>
      <c r="D99" s="3"/>
      <c r="E99" s="3">
        <f>MIN(E2:E95)</f>
        <v>0</v>
      </c>
      <c r="H99" s="3">
        <f>MIN(H2:H95)</f>
        <v>0.303536852975345</v>
      </c>
    </row>
    <row r="100" spans="3:8" x14ac:dyDescent="0.25">
      <c r="C100" s="4" t="s">
        <v>9</v>
      </c>
      <c r="D100" s="4"/>
      <c r="E100" s="4" t="s">
        <v>9</v>
      </c>
      <c r="H100" s="4" t="s">
        <v>9</v>
      </c>
    </row>
    <row r="101" spans="3:8" x14ac:dyDescent="0.25">
      <c r="C101" s="3">
        <f>MAX(C2:C95)</f>
        <v>0.55191234218909202</v>
      </c>
      <c r="D101" s="3"/>
      <c r="E101" s="3">
        <f>MAX(E2:E95)</f>
        <v>0.60707370595068999</v>
      </c>
      <c r="F101" s="7"/>
      <c r="G101" s="7"/>
      <c r="H101" s="3">
        <f>MAX(H2:H95)</f>
        <v>0.5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317C-AE58-439F-BD4B-2FFAE64C4E2C}">
  <dimension ref="A1:J101"/>
  <sheetViews>
    <sheetView workbookViewId="0">
      <selection sqref="A1:XFD1"/>
    </sheetView>
  </sheetViews>
  <sheetFormatPr defaultRowHeight="13.8" x14ac:dyDescent="0.25"/>
  <cols>
    <col min="1" max="1" width="36.5546875" style="4" customWidth="1"/>
    <col min="2" max="16384" width="8.88671875" style="4"/>
  </cols>
  <sheetData>
    <row r="1" spans="1:10" x14ac:dyDescent="0.25">
      <c r="C1" s="10" t="s">
        <v>190</v>
      </c>
      <c r="D1" s="10" t="s">
        <v>191</v>
      </c>
      <c r="E1" s="10" t="s">
        <v>192</v>
      </c>
      <c r="F1" s="10" t="s">
        <v>193</v>
      </c>
      <c r="G1" s="10" t="s">
        <v>194</v>
      </c>
      <c r="H1" s="4" t="s">
        <v>195</v>
      </c>
      <c r="I1" s="4" t="s">
        <v>196</v>
      </c>
      <c r="J1" s="10" t="s">
        <v>197</v>
      </c>
    </row>
    <row r="2" spans="1:10" x14ac:dyDescent="0.25">
      <c r="A2" s="8" t="s">
        <v>0</v>
      </c>
      <c r="B2" s="4" t="s">
        <v>7</v>
      </c>
      <c r="C2" s="4">
        <v>0.50934622869376101</v>
      </c>
      <c r="D2" s="5">
        <f>(C2-$C$99)/($C$101-$C$99)</f>
        <v>0.92931653362020972</v>
      </c>
      <c r="E2" s="5">
        <v>0.282525588851892</v>
      </c>
      <c r="F2" s="5">
        <f>(E2-$E$99)/($E$101-$E$99)</f>
        <v>0.51115474568412922</v>
      </c>
      <c r="G2" s="5">
        <f>1-F2</f>
        <v>0.48884525431587078</v>
      </c>
      <c r="H2" s="5">
        <f>(E2+G2)/2</f>
        <v>0.38568542158388142</v>
      </c>
      <c r="I2" s="5">
        <f>(H2-$H$99)/($H$101-$H$99)</f>
        <v>0.48884525431587095</v>
      </c>
      <c r="J2" s="5">
        <v>0.952380952380952</v>
      </c>
    </row>
    <row r="3" spans="1:10" ht="14.4" x14ac:dyDescent="0.25">
      <c r="A3" s="8" t="s">
        <v>177</v>
      </c>
      <c r="B3" s="4" t="s">
        <v>11</v>
      </c>
      <c r="C3" s="4">
        <v>0.37983337890980401</v>
      </c>
      <c r="D3" s="5">
        <f t="shared" ref="D3:D66" si="0">(C3-$C$99)/($C$101-$C$99)</f>
        <v>0.63179579874855141</v>
      </c>
      <c r="E3" s="5">
        <v>0.35782012335450603</v>
      </c>
      <c r="F3" s="5">
        <f t="shared" ref="F3:F66" si="1">(E3-$E$99)/($E$101-$E$99)</f>
        <v>0.64738013606908529</v>
      </c>
      <c r="G3" s="5">
        <f t="shared" ref="G3:G66" si="2">1-F3</f>
        <v>0.35261986393091471</v>
      </c>
      <c r="H3" s="5">
        <f t="shared" ref="H3:H66" si="3">(E3+G3)/2</f>
        <v>0.3552199936427104</v>
      </c>
      <c r="I3" s="5">
        <f t="shared" ref="I3:I66" si="4">(H3-$H$99)/($H$101-$H$99)</f>
        <v>0.35261986393091482</v>
      </c>
      <c r="J3" s="5">
        <v>0.8</v>
      </c>
    </row>
    <row r="4" spans="1:10" ht="14.4" x14ac:dyDescent="0.25">
      <c r="A4" s="8" t="s">
        <v>104</v>
      </c>
      <c r="B4" s="4" t="s">
        <v>12</v>
      </c>
      <c r="C4" s="4">
        <v>0.379793217927681</v>
      </c>
      <c r="D4" s="5">
        <f t="shared" si="0"/>
        <v>0.631703539756997</v>
      </c>
      <c r="E4" s="5">
        <v>0.33293306632705999</v>
      </c>
      <c r="F4" s="5">
        <f t="shared" si="1"/>
        <v>0.60235364003597947</v>
      </c>
      <c r="G4" s="5">
        <f t="shared" si="2"/>
        <v>0.39764635996402053</v>
      </c>
      <c r="H4" s="5">
        <f t="shared" si="3"/>
        <v>0.36528971314554026</v>
      </c>
      <c r="I4" s="5">
        <f t="shared" si="4"/>
        <v>0.39764635996402053</v>
      </c>
      <c r="J4" s="5">
        <v>0.8</v>
      </c>
    </row>
    <row r="5" spans="1:10" ht="14.4" x14ac:dyDescent="0.25">
      <c r="A5" s="8" t="s">
        <v>105</v>
      </c>
      <c r="B5" s="4" t="s">
        <v>13</v>
      </c>
      <c r="C5" s="4">
        <v>0.35807045932992299</v>
      </c>
      <c r="D5" s="5">
        <f t="shared" si="0"/>
        <v>0.58180137860290593</v>
      </c>
      <c r="E5" s="5">
        <v>0.28089703715829101</v>
      </c>
      <c r="F5" s="5">
        <f t="shared" si="1"/>
        <v>0.50820831548586332</v>
      </c>
      <c r="G5" s="5">
        <f t="shared" si="2"/>
        <v>0.49179168451413668</v>
      </c>
      <c r="H5" s="5">
        <f t="shared" si="3"/>
        <v>0.38634436083621382</v>
      </c>
      <c r="I5" s="5">
        <f t="shared" si="4"/>
        <v>0.49179168451413663</v>
      </c>
      <c r="J5" s="5">
        <v>0.8</v>
      </c>
    </row>
    <row r="6" spans="1:10" ht="14.4" x14ac:dyDescent="0.25">
      <c r="A6" s="8" t="s">
        <v>106</v>
      </c>
      <c r="B6" s="4" t="s">
        <v>14</v>
      </c>
      <c r="C6" s="4">
        <v>0.37399005821680098</v>
      </c>
      <c r="D6" s="5">
        <f t="shared" si="0"/>
        <v>0.61837235026777848</v>
      </c>
      <c r="E6" s="5">
        <v>0.254917387883556</v>
      </c>
      <c r="F6" s="5">
        <f t="shared" si="1"/>
        <v>0.46120506501232272</v>
      </c>
      <c r="G6" s="5">
        <f t="shared" si="2"/>
        <v>0.53879493498767728</v>
      </c>
      <c r="H6" s="5">
        <f t="shared" si="3"/>
        <v>0.39685616143561664</v>
      </c>
      <c r="I6" s="5">
        <f t="shared" si="4"/>
        <v>0.53879493498767728</v>
      </c>
      <c r="J6" s="5">
        <v>0.44444444444444398</v>
      </c>
    </row>
    <row r="7" spans="1:10" ht="14.4" x14ac:dyDescent="0.25">
      <c r="A7" s="8" t="s">
        <v>107</v>
      </c>
      <c r="B7" s="4" t="s">
        <v>15</v>
      </c>
      <c r="C7" s="4">
        <v>0.42435342928588898</v>
      </c>
      <c r="D7" s="5">
        <f t="shared" si="0"/>
        <v>0.73406857034234585</v>
      </c>
      <c r="E7" s="5">
        <v>0.348651348651348</v>
      </c>
      <c r="F7" s="5">
        <f t="shared" si="1"/>
        <v>0.63079168218541004</v>
      </c>
      <c r="G7" s="5">
        <f t="shared" si="2"/>
        <v>0.36920831781458996</v>
      </c>
      <c r="H7" s="5">
        <f t="shared" si="3"/>
        <v>0.35892983323296901</v>
      </c>
      <c r="I7" s="5">
        <f t="shared" si="4"/>
        <v>0.36920831781459001</v>
      </c>
      <c r="J7" s="5">
        <v>0.95652173913043403</v>
      </c>
    </row>
    <row r="8" spans="1:10" ht="14.4" x14ac:dyDescent="0.25">
      <c r="A8" s="8" t="s">
        <v>108</v>
      </c>
      <c r="B8" s="4" t="s">
        <v>16</v>
      </c>
      <c r="C8" s="4">
        <v>0.40698127794710998</v>
      </c>
      <c r="D8" s="5">
        <f t="shared" si="0"/>
        <v>0.69416075238268393</v>
      </c>
      <c r="E8" s="5">
        <v>0.23975613170326501</v>
      </c>
      <c r="F8" s="5">
        <f t="shared" si="1"/>
        <v>0.43377481319484495</v>
      </c>
      <c r="G8" s="5">
        <f t="shared" si="2"/>
        <v>0.5662251868051551</v>
      </c>
      <c r="H8" s="5">
        <f t="shared" si="3"/>
        <v>0.40299065925421007</v>
      </c>
      <c r="I8" s="5">
        <f t="shared" si="4"/>
        <v>0.56622518680515521</v>
      </c>
      <c r="J8" s="5">
        <v>0.9</v>
      </c>
    </row>
    <row r="9" spans="1:10" ht="14.4" x14ac:dyDescent="0.25">
      <c r="A9" s="8" t="s">
        <v>109</v>
      </c>
      <c r="B9" s="4" t="s">
        <v>17</v>
      </c>
      <c r="C9" s="4">
        <v>0.34426873634471999</v>
      </c>
      <c r="D9" s="5">
        <f t="shared" si="0"/>
        <v>0.5500956538666929</v>
      </c>
      <c r="E9" s="5">
        <v>0.30794137695978102</v>
      </c>
      <c r="F9" s="5">
        <f t="shared" si="1"/>
        <v>0.55713783967375086</v>
      </c>
      <c r="G9" s="5">
        <f t="shared" si="2"/>
        <v>0.44286216032624914</v>
      </c>
      <c r="H9" s="5">
        <f t="shared" si="3"/>
        <v>0.37540176864301511</v>
      </c>
      <c r="I9" s="5">
        <f t="shared" si="4"/>
        <v>0.44286216032624925</v>
      </c>
      <c r="J9" s="5">
        <v>0.875</v>
      </c>
    </row>
    <row r="10" spans="1:10" ht="14.4" x14ac:dyDescent="0.25">
      <c r="A10" s="8" t="s">
        <v>110</v>
      </c>
      <c r="B10" s="4" t="s">
        <v>18</v>
      </c>
      <c r="C10" s="4">
        <v>0.24700599395888301</v>
      </c>
      <c r="D10" s="5">
        <f t="shared" si="0"/>
        <v>0.3266608160221196</v>
      </c>
      <c r="E10" s="5">
        <v>0.55122655122655095</v>
      </c>
      <c r="F10" s="5">
        <f t="shared" si="1"/>
        <v>0.99729751471911821</v>
      </c>
      <c r="G10" s="5">
        <f t="shared" si="2"/>
        <v>2.7024852808817945E-3</v>
      </c>
      <c r="H10" s="5">
        <f t="shared" si="3"/>
        <v>0.27696451825371637</v>
      </c>
      <c r="I10" s="5">
        <f t="shared" si="4"/>
        <v>2.7024852808818184E-3</v>
      </c>
      <c r="J10" s="5">
        <v>0.66666666666666596</v>
      </c>
    </row>
    <row r="11" spans="1:10" ht="14.4" x14ac:dyDescent="0.25">
      <c r="A11" s="8" t="s">
        <v>178</v>
      </c>
      <c r="B11" s="4" t="s">
        <v>19</v>
      </c>
      <c r="C11" s="4">
        <v>0.473006239584986</v>
      </c>
      <c r="D11" s="5">
        <f t="shared" si="0"/>
        <v>0.84583523981109077</v>
      </c>
      <c r="E11" s="5">
        <v>0.20303468208092401</v>
      </c>
      <c r="F11" s="5">
        <f t="shared" si="1"/>
        <v>0.36733713822480807</v>
      </c>
      <c r="G11" s="5">
        <f t="shared" si="2"/>
        <v>0.63266286177519193</v>
      </c>
      <c r="H11" s="5">
        <f t="shared" si="3"/>
        <v>0.41784877192805797</v>
      </c>
      <c r="I11" s="5">
        <f t="shared" si="4"/>
        <v>0.63266286177519193</v>
      </c>
      <c r="J11" s="5">
        <v>0.84745762711864403</v>
      </c>
    </row>
    <row r="12" spans="1:10" ht="14.4" x14ac:dyDescent="0.25">
      <c r="A12" s="8" t="s">
        <v>179</v>
      </c>
      <c r="B12" s="4" t="s">
        <v>20</v>
      </c>
      <c r="C12" s="4">
        <v>0.42332609182090303</v>
      </c>
      <c r="D12" s="5">
        <f t="shared" si="0"/>
        <v>0.73170854044528411</v>
      </c>
      <c r="E12" s="5">
        <v>0.33713674451773901</v>
      </c>
      <c r="F12" s="5">
        <f t="shared" si="1"/>
        <v>0.60995907522939441</v>
      </c>
      <c r="G12" s="5">
        <f t="shared" si="2"/>
        <v>0.39004092477060559</v>
      </c>
      <c r="H12" s="5">
        <f t="shared" si="3"/>
        <v>0.3635888346441723</v>
      </c>
      <c r="I12" s="5">
        <f t="shared" si="4"/>
        <v>0.39004092477060559</v>
      </c>
      <c r="J12" s="5">
        <v>0.91803278688524503</v>
      </c>
    </row>
    <row r="13" spans="1:10" ht="14.4" x14ac:dyDescent="0.25">
      <c r="A13" s="8" t="s">
        <v>111</v>
      </c>
      <c r="B13" s="4" t="s">
        <v>21</v>
      </c>
      <c r="C13" s="4">
        <v>0.26251093051263003</v>
      </c>
      <c r="D13" s="5">
        <f t="shared" si="0"/>
        <v>0.36227921315649164</v>
      </c>
      <c r="E13" s="5">
        <v>0.342131250561091</v>
      </c>
      <c r="F13" s="5">
        <f t="shared" si="1"/>
        <v>0.6189953026266436</v>
      </c>
      <c r="G13" s="5">
        <f t="shared" si="2"/>
        <v>0.3810046973733564</v>
      </c>
      <c r="H13" s="5">
        <f t="shared" si="3"/>
        <v>0.36156797396722373</v>
      </c>
      <c r="I13" s="5">
        <f t="shared" si="4"/>
        <v>0.38100469737335657</v>
      </c>
      <c r="J13" s="5">
        <v>0.8</v>
      </c>
    </row>
    <row r="14" spans="1:10" ht="14.4" x14ac:dyDescent="0.25">
      <c r="A14" s="8" t="s">
        <v>112</v>
      </c>
      <c r="B14" s="4" t="s">
        <v>22</v>
      </c>
      <c r="C14" s="4">
        <v>0.38044496890555901</v>
      </c>
      <c r="D14" s="5">
        <f t="shared" si="0"/>
        <v>0.63320076130848824</v>
      </c>
      <c r="E14" s="5">
        <v>0.19560189303632999</v>
      </c>
      <c r="F14" s="5">
        <f t="shared" si="1"/>
        <v>0.35388948766241979</v>
      </c>
      <c r="G14" s="5">
        <f t="shared" si="2"/>
        <v>0.64611051233758021</v>
      </c>
      <c r="H14" s="5">
        <f t="shared" si="3"/>
        <v>0.42085620268695512</v>
      </c>
      <c r="I14" s="5">
        <f t="shared" si="4"/>
        <v>0.64611051233758021</v>
      </c>
      <c r="J14" s="5">
        <v>0.66666666666666596</v>
      </c>
    </row>
    <row r="15" spans="1:10" ht="14.4" x14ac:dyDescent="0.25">
      <c r="A15" s="8" t="s">
        <v>113</v>
      </c>
      <c r="B15" s="4" t="s">
        <v>23</v>
      </c>
      <c r="C15" s="4">
        <v>0.40518129492014099</v>
      </c>
      <c r="D15" s="5">
        <f t="shared" si="0"/>
        <v>0.69002577833313095</v>
      </c>
      <c r="E15" s="5">
        <v>0.263350868802805</v>
      </c>
      <c r="F15" s="5">
        <f t="shared" si="1"/>
        <v>0.47646320078695703</v>
      </c>
      <c r="G15" s="5">
        <f t="shared" si="2"/>
        <v>0.52353679921304297</v>
      </c>
      <c r="H15" s="5">
        <f t="shared" si="3"/>
        <v>0.39344383400792399</v>
      </c>
      <c r="I15" s="5">
        <f t="shared" si="4"/>
        <v>0.52353679921304297</v>
      </c>
      <c r="J15" s="5">
        <v>0.75</v>
      </c>
    </row>
    <row r="16" spans="1:10" ht="14.4" x14ac:dyDescent="0.25">
      <c r="A16" s="8" t="s">
        <v>114</v>
      </c>
      <c r="B16" s="4" t="s">
        <v>24</v>
      </c>
      <c r="C16" s="4">
        <v>0.35862799170862197</v>
      </c>
      <c r="D16" s="5">
        <f t="shared" si="0"/>
        <v>0.58308215841202893</v>
      </c>
      <c r="E16" s="5">
        <v>0.219047052228559</v>
      </c>
      <c r="F16" s="5">
        <f t="shared" si="1"/>
        <v>0.39630725390132193</v>
      </c>
      <c r="G16" s="5">
        <f t="shared" si="2"/>
        <v>0.60369274609867807</v>
      </c>
      <c r="H16" s="5">
        <f t="shared" si="3"/>
        <v>0.41136989916361855</v>
      </c>
      <c r="I16" s="5">
        <f t="shared" si="4"/>
        <v>0.60369274609867818</v>
      </c>
      <c r="J16" s="5">
        <v>0.96428571428571397</v>
      </c>
    </row>
    <row r="17" spans="1:10" ht="14.4" x14ac:dyDescent="0.25">
      <c r="A17" s="8" t="s">
        <v>115</v>
      </c>
      <c r="B17" s="4" t="s">
        <v>25</v>
      </c>
      <c r="C17" s="4">
        <v>0.37434504106322802</v>
      </c>
      <c r="D17" s="5">
        <f t="shared" si="0"/>
        <v>0.61918782732285049</v>
      </c>
      <c r="E17" s="5">
        <v>0.275178687459389</v>
      </c>
      <c r="F17" s="5">
        <f t="shared" si="1"/>
        <v>0.49786248593480109</v>
      </c>
      <c r="G17" s="5">
        <f t="shared" si="2"/>
        <v>0.50213751406519891</v>
      </c>
      <c r="H17" s="5">
        <f t="shared" si="3"/>
        <v>0.38865810076229396</v>
      </c>
      <c r="I17" s="5">
        <f t="shared" si="4"/>
        <v>0.50213751406519891</v>
      </c>
      <c r="J17" s="5">
        <v>0.66666666666666596</v>
      </c>
    </row>
    <row r="18" spans="1:10" ht="14.4" x14ac:dyDescent="0.25">
      <c r="A18" s="8" t="s">
        <v>116</v>
      </c>
      <c r="B18" s="4" t="s">
        <v>26</v>
      </c>
      <c r="C18" s="4">
        <v>0.37300066855757802</v>
      </c>
      <c r="D18" s="5">
        <f t="shared" si="0"/>
        <v>0.6160994951883213</v>
      </c>
      <c r="E18" s="5">
        <v>0.30693912303107701</v>
      </c>
      <c r="F18" s="5">
        <f t="shared" si="1"/>
        <v>0.55532452834106949</v>
      </c>
      <c r="G18" s="5">
        <f t="shared" si="2"/>
        <v>0.44467547165893051</v>
      </c>
      <c r="H18" s="5">
        <f t="shared" si="3"/>
        <v>0.37580729734500373</v>
      </c>
      <c r="I18" s="5">
        <f t="shared" si="4"/>
        <v>0.44467547165893034</v>
      </c>
      <c r="J18" s="5">
        <v>0.875</v>
      </c>
    </row>
    <row r="19" spans="1:10" ht="14.4" x14ac:dyDescent="0.25">
      <c r="A19" s="8" t="s">
        <v>117</v>
      </c>
      <c r="B19" s="4" t="s">
        <v>27</v>
      </c>
      <c r="C19" s="4">
        <v>0.45631235252313501</v>
      </c>
      <c r="D19" s="5">
        <f t="shared" si="0"/>
        <v>0.80748555053476367</v>
      </c>
      <c r="E19" s="5">
        <v>0.32214265693196797</v>
      </c>
      <c r="F19" s="5">
        <f t="shared" si="1"/>
        <v>0.5828312704248243</v>
      </c>
      <c r="G19" s="5">
        <f t="shared" si="2"/>
        <v>0.4171687295751757</v>
      </c>
      <c r="H19" s="5">
        <f t="shared" si="3"/>
        <v>0.36965569325357184</v>
      </c>
      <c r="I19" s="5">
        <f t="shared" si="4"/>
        <v>0.4171687295751757</v>
      </c>
      <c r="J19" s="5">
        <v>0.66666666666666596</v>
      </c>
    </row>
    <row r="20" spans="1:10" ht="14.4" x14ac:dyDescent="0.25">
      <c r="A20" s="8" t="s">
        <v>118</v>
      </c>
      <c r="B20" s="4" t="s">
        <v>28</v>
      </c>
      <c r="C20" s="4">
        <v>0.374625928991482</v>
      </c>
      <c r="D20" s="5">
        <f t="shared" si="0"/>
        <v>0.61983309134854447</v>
      </c>
      <c r="E20" s="5">
        <v>0.263955342902711</v>
      </c>
      <c r="F20" s="5">
        <f t="shared" si="1"/>
        <v>0.47755683554784967</v>
      </c>
      <c r="G20" s="5">
        <f t="shared" si="2"/>
        <v>0.52244316445215033</v>
      </c>
      <c r="H20" s="5">
        <f t="shared" si="3"/>
        <v>0.39319925367743069</v>
      </c>
      <c r="I20" s="5">
        <f t="shared" si="4"/>
        <v>0.52244316445215044</v>
      </c>
      <c r="J20" s="5">
        <v>0.66666666666666596</v>
      </c>
    </row>
    <row r="21" spans="1:10" ht="14.4" x14ac:dyDescent="0.25">
      <c r="A21" s="8" t="s">
        <v>119</v>
      </c>
      <c r="B21" s="4" t="s">
        <v>29</v>
      </c>
      <c r="C21" s="4">
        <v>0.38997232901711898</v>
      </c>
      <c r="D21" s="5">
        <f t="shared" si="0"/>
        <v>0.65508729369895513</v>
      </c>
      <c r="E21" s="5">
        <v>0.35233585283671798</v>
      </c>
      <c r="F21" s="5">
        <f t="shared" si="1"/>
        <v>0.63745781040232063</v>
      </c>
      <c r="G21" s="5">
        <f t="shared" si="2"/>
        <v>0.36254218959767937</v>
      </c>
      <c r="H21" s="5">
        <f t="shared" si="3"/>
        <v>0.35743902121719867</v>
      </c>
      <c r="I21" s="5">
        <f t="shared" si="4"/>
        <v>0.36254218959767942</v>
      </c>
      <c r="J21" s="5">
        <v>0.89577464788732397</v>
      </c>
    </row>
    <row r="22" spans="1:10" ht="14.4" x14ac:dyDescent="0.25">
      <c r="A22" s="8" t="s">
        <v>120</v>
      </c>
      <c r="B22" s="4" t="s">
        <v>30</v>
      </c>
      <c r="C22" s="4">
        <v>0.37546439553715899</v>
      </c>
      <c r="D22" s="5">
        <f t="shared" si="0"/>
        <v>0.62175924140432082</v>
      </c>
      <c r="E22" s="5">
        <v>0.30855339350334399</v>
      </c>
      <c r="F22" s="5">
        <f t="shared" si="1"/>
        <v>0.5582451204759985</v>
      </c>
      <c r="G22" s="5">
        <f t="shared" si="2"/>
        <v>0.4417548795240015</v>
      </c>
      <c r="H22" s="5">
        <f t="shared" si="3"/>
        <v>0.37515413651367274</v>
      </c>
      <c r="I22" s="5">
        <f t="shared" si="4"/>
        <v>0.44175487952400144</v>
      </c>
      <c r="J22" s="5">
        <v>0.94782608695652104</v>
      </c>
    </row>
    <row r="23" spans="1:10" ht="14.4" x14ac:dyDescent="0.25">
      <c r="A23" s="8" t="s">
        <v>121</v>
      </c>
      <c r="B23" s="4" t="s">
        <v>31</v>
      </c>
      <c r="C23" s="4">
        <v>0.37361073137817602</v>
      </c>
      <c r="D23" s="5">
        <f t="shared" si="0"/>
        <v>0.61750094947648626</v>
      </c>
      <c r="E23" s="5">
        <v>0.433251433251433</v>
      </c>
      <c r="F23" s="5">
        <f t="shared" si="1"/>
        <v>0.78385298507249779</v>
      </c>
      <c r="G23" s="5">
        <f t="shared" si="2"/>
        <v>0.21614701492750221</v>
      </c>
      <c r="H23" s="5">
        <f t="shared" si="3"/>
        <v>0.32469922408946761</v>
      </c>
      <c r="I23" s="5">
        <f t="shared" si="4"/>
        <v>0.21614701492750218</v>
      </c>
      <c r="J23" s="5">
        <v>0.91666666666666596</v>
      </c>
    </row>
    <row r="24" spans="1:10" ht="14.4" x14ac:dyDescent="0.25">
      <c r="A24" s="8" t="s">
        <v>122</v>
      </c>
      <c r="B24" s="4" t="s">
        <v>32</v>
      </c>
      <c r="C24" s="4">
        <v>0.30255524967771802</v>
      </c>
      <c r="D24" s="5">
        <f t="shared" si="0"/>
        <v>0.45427020312626082</v>
      </c>
      <c r="E24" s="5">
        <v>0.28543177323665098</v>
      </c>
      <c r="F24" s="5">
        <f t="shared" si="1"/>
        <v>0.51641271168338398</v>
      </c>
      <c r="G24" s="5">
        <f t="shared" si="2"/>
        <v>0.48358728831661602</v>
      </c>
      <c r="H24" s="5">
        <f t="shared" si="3"/>
        <v>0.38450953077663352</v>
      </c>
      <c r="I24" s="5">
        <f t="shared" si="4"/>
        <v>0.48358728831661613</v>
      </c>
      <c r="J24" s="5">
        <v>0.66666666666666596</v>
      </c>
    </row>
    <row r="25" spans="1:10" ht="14.4" x14ac:dyDescent="0.25">
      <c r="A25" s="8" t="s">
        <v>123</v>
      </c>
      <c r="B25" s="4" t="s">
        <v>33</v>
      </c>
      <c r="C25" s="4">
        <v>0.36177737941110399</v>
      </c>
      <c r="D25" s="5">
        <f t="shared" si="0"/>
        <v>0.59031702464500313</v>
      </c>
      <c r="E25" s="5">
        <v>0.27930505514977</v>
      </c>
      <c r="F25" s="5">
        <f t="shared" si="1"/>
        <v>0.50532804838508105</v>
      </c>
      <c r="G25" s="5">
        <f t="shared" si="2"/>
        <v>0.49467195161491895</v>
      </c>
      <c r="H25" s="5">
        <f t="shared" si="3"/>
        <v>0.38698850338234447</v>
      </c>
      <c r="I25" s="5">
        <f t="shared" si="4"/>
        <v>0.49467195161491889</v>
      </c>
      <c r="J25" s="5">
        <v>0.96969696969696895</v>
      </c>
    </row>
    <row r="26" spans="1:10" ht="14.4" x14ac:dyDescent="0.25">
      <c r="A26" s="8" t="s">
        <v>124</v>
      </c>
      <c r="B26" s="4" t="s">
        <v>34</v>
      </c>
      <c r="C26" s="4">
        <v>0.36969390302203498</v>
      </c>
      <c r="D26" s="5">
        <f t="shared" si="0"/>
        <v>0.60850309595979546</v>
      </c>
      <c r="E26" s="5">
        <v>0.35636713559089001</v>
      </c>
      <c r="F26" s="5">
        <f t="shared" si="1"/>
        <v>0.64475134200546991</v>
      </c>
      <c r="G26" s="5">
        <f t="shared" si="2"/>
        <v>0.35524865799453009</v>
      </c>
      <c r="H26" s="5">
        <f t="shared" si="3"/>
        <v>0.35580789679271008</v>
      </c>
      <c r="I26" s="5">
        <f t="shared" si="4"/>
        <v>0.3552486579945302</v>
      </c>
      <c r="J26" s="5">
        <v>0.8</v>
      </c>
    </row>
    <row r="27" spans="1:10" ht="14.4" x14ac:dyDescent="0.25">
      <c r="A27" s="8" t="s">
        <v>1</v>
      </c>
      <c r="B27" s="4" t="s">
        <v>35</v>
      </c>
      <c r="C27" s="4">
        <v>0.17388974967423401</v>
      </c>
      <c r="D27" s="5">
        <f t="shared" si="0"/>
        <v>0.15869602513911391</v>
      </c>
      <c r="E27" s="5">
        <v>3.6269430051813399E-2</v>
      </c>
      <c r="F27" s="5">
        <f t="shared" si="1"/>
        <v>6.5619866043219968E-2</v>
      </c>
      <c r="G27" s="5">
        <f t="shared" si="2"/>
        <v>0.93438013395677999</v>
      </c>
      <c r="H27" s="5">
        <f t="shared" si="3"/>
        <v>0.48532478200429668</v>
      </c>
      <c r="I27" s="5">
        <f t="shared" si="4"/>
        <v>0.93438013395677988</v>
      </c>
      <c r="J27" s="5">
        <v>0.87837837837837796</v>
      </c>
    </row>
    <row r="28" spans="1:10" ht="14.4" x14ac:dyDescent="0.25">
      <c r="A28" s="8" t="s">
        <v>125</v>
      </c>
      <c r="B28" s="4" t="s">
        <v>36</v>
      </c>
      <c r="C28" s="4">
        <v>0.38160921782255303</v>
      </c>
      <c r="D28" s="5">
        <f t="shared" si="0"/>
        <v>0.63587530822746507</v>
      </c>
      <c r="E28" s="5">
        <v>0.28226204175571201</v>
      </c>
      <c r="F28" s="5">
        <f t="shared" si="1"/>
        <v>0.51067792746220786</v>
      </c>
      <c r="G28" s="5">
        <f t="shared" si="2"/>
        <v>0.48932207253779214</v>
      </c>
      <c r="H28" s="5">
        <f t="shared" si="3"/>
        <v>0.38579205714675208</v>
      </c>
      <c r="I28" s="5">
        <f t="shared" si="4"/>
        <v>0.48932207253779209</v>
      </c>
      <c r="J28" s="5">
        <v>0.66666666666666596</v>
      </c>
    </row>
    <row r="29" spans="1:10" ht="14.4" x14ac:dyDescent="0.25">
      <c r="A29" s="8" t="s">
        <v>126</v>
      </c>
      <c r="B29" s="4" t="s">
        <v>37</v>
      </c>
      <c r="C29" s="4">
        <v>0.33943386831205102</v>
      </c>
      <c r="D29" s="5">
        <f t="shared" si="0"/>
        <v>0.5389888525532579</v>
      </c>
      <c r="E29" s="5">
        <v>0.30050505050505</v>
      </c>
      <c r="F29" s="5">
        <f t="shared" si="1"/>
        <v>0.5436837891106181</v>
      </c>
      <c r="G29" s="5">
        <f t="shared" si="2"/>
        <v>0.4563162108893819</v>
      </c>
      <c r="H29" s="5">
        <f t="shared" si="3"/>
        <v>0.37841063069721592</v>
      </c>
      <c r="I29" s="5">
        <f t="shared" si="4"/>
        <v>0.45631621088938179</v>
      </c>
      <c r="J29" s="5">
        <v>0.8</v>
      </c>
    </row>
    <row r="30" spans="1:10" ht="14.4" x14ac:dyDescent="0.25">
      <c r="A30" s="8" t="s">
        <v>180</v>
      </c>
      <c r="B30" s="4" t="s">
        <v>38</v>
      </c>
      <c r="C30" s="4">
        <v>0.35922095923375003</v>
      </c>
      <c r="D30" s="5">
        <f t="shared" si="0"/>
        <v>0.58444434088369424</v>
      </c>
      <c r="E30" s="5">
        <v>0.28650616364689302</v>
      </c>
      <c r="F30" s="5">
        <f t="shared" si="1"/>
        <v>0.51835653475139154</v>
      </c>
      <c r="G30" s="5">
        <f t="shared" si="2"/>
        <v>0.48164346524860846</v>
      </c>
      <c r="H30" s="5">
        <f t="shared" si="3"/>
        <v>0.38407481444775071</v>
      </c>
      <c r="I30" s="5">
        <f t="shared" si="4"/>
        <v>0.48164346524860835</v>
      </c>
      <c r="J30" s="5">
        <v>0.96153846153846101</v>
      </c>
    </row>
    <row r="31" spans="1:10" ht="14.4" x14ac:dyDescent="0.25">
      <c r="A31" s="8" t="s">
        <v>127</v>
      </c>
      <c r="B31" s="4" t="s">
        <v>39</v>
      </c>
      <c r="C31" s="4">
        <v>0.364123320309089</v>
      </c>
      <c r="D31" s="5">
        <f t="shared" si="0"/>
        <v>0.59570618920356444</v>
      </c>
      <c r="E31" s="5">
        <v>0.30460649328573802</v>
      </c>
      <c r="F31" s="5">
        <f t="shared" si="1"/>
        <v>0.55110425658055628</v>
      </c>
      <c r="G31" s="5">
        <f t="shared" si="2"/>
        <v>0.44889574341944372</v>
      </c>
      <c r="H31" s="5">
        <f t="shared" si="3"/>
        <v>0.3767511183525909</v>
      </c>
      <c r="I31" s="5">
        <f t="shared" si="4"/>
        <v>0.44889574341944388</v>
      </c>
      <c r="J31" s="5">
        <v>0.98333333333333295</v>
      </c>
    </row>
    <row r="32" spans="1:10" ht="14.4" x14ac:dyDescent="0.25">
      <c r="A32" s="8" t="s">
        <v>128</v>
      </c>
      <c r="B32" s="4" t="s">
        <v>40</v>
      </c>
      <c r="C32" s="4">
        <v>0.34204798414328402</v>
      </c>
      <c r="D32" s="5">
        <f t="shared" si="0"/>
        <v>0.54499407647077236</v>
      </c>
      <c r="E32" s="5">
        <v>0.27752974509126599</v>
      </c>
      <c r="F32" s="5">
        <f t="shared" si="1"/>
        <v>0.502116098044042</v>
      </c>
      <c r="G32" s="5">
        <f t="shared" si="2"/>
        <v>0.497883901955958</v>
      </c>
      <c r="H32" s="5">
        <f t="shared" si="3"/>
        <v>0.38770682352361197</v>
      </c>
      <c r="I32" s="5">
        <f t="shared" si="4"/>
        <v>0.49788390195595783</v>
      </c>
      <c r="J32" s="5">
        <v>0.66666666666666596</v>
      </c>
    </row>
    <row r="33" spans="1:10" ht="14.4" x14ac:dyDescent="0.25">
      <c r="A33" s="8" t="s">
        <v>129</v>
      </c>
      <c r="B33" s="4" t="s">
        <v>41</v>
      </c>
      <c r="C33" s="4">
        <v>0.34329775816381902</v>
      </c>
      <c r="D33" s="5">
        <f t="shared" si="0"/>
        <v>0.54786509417776708</v>
      </c>
      <c r="E33" s="5">
        <v>0.372180451127819</v>
      </c>
      <c r="F33" s="5">
        <f t="shared" si="1"/>
        <v>0.67336132142202176</v>
      </c>
      <c r="G33" s="5">
        <f t="shared" si="2"/>
        <v>0.32663867857797824</v>
      </c>
      <c r="H33" s="5">
        <f t="shared" si="3"/>
        <v>0.34940956485289865</v>
      </c>
      <c r="I33" s="5">
        <f t="shared" si="4"/>
        <v>0.3266386785779784</v>
      </c>
      <c r="J33" s="5">
        <v>0.66666666666666596</v>
      </c>
    </row>
    <row r="34" spans="1:10" ht="14.4" x14ac:dyDescent="0.25">
      <c r="A34" s="8" t="s">
        <v>130</v>
      </c>
      <c r="B34" s="4" t="s">
        <v>42</v>
      </c>
      <c r="C34" s="4">
        <v>0.30685741971414199</v>
      </c>
      <c r="D34" s="5">
        <f t="shared" si="0"/>
        <v>0.46415327490573954</v>
      </c>
      <c r="E34" s="5">
        <v>0.24269005847953201</v>
      </c>
      <c r="F34" s="5">
        <f t="shared" si="1"/>
        <v>0.4390829716567845</v>
      </c>
      <c r="G34" s="5">
        <f t="shared" si="2"/>
        <v>0.56091702834321544</v>
      </c>
      <c r="H34" s="5">
        <f t="shared" si="3"/>
        <v>0.4018035434113737</v>
      </c>
      <c r="I34" s="5">
        <f t="shared" si="4"/>
        <v>0.56091702834321522</v>
      </c>
      <c r="J34" s="5">
        <v>0.66666666666666596</v>
      </c>
    </row>
    <row r="35" spans="1:10" ht="14.4" x14ac:dyDescent="0.25">
      <c r="A35" s="8" t="s">
        <v>131</v>
      </c>
      <c r="B35" s="4" t="s">
        <v>43</v>
      </c>
      <c r="C35" s="4">
        <v>0.43208723955877798</v>
      </c>
      <c r="D35" s="5">
        <f t="shared" si="0"/>
        <v>0.75183490719298429</v>
      </c>
      <c r="E35" s="5">
        <v>0.343216531895777</v>
      </c>
      <c r="F35" s="5">
        <f t="shared" si="1"/>
        <v>0.62095882991945095</v>
      </c>
      <c r="G35" s="5">
        <f t="shared" si="2"/>
        <v>0.37904117008054905</v>
      </c>
      <c r="H35" s="5">
        <f t="shared" si="3"/>
        <v>0.36112885098816305</v>
      </c>
      <c r="I35" s="5">
        <f t="shared" si="4"/>
        <v>0.37904117008054916</v>
      </c>
      <c r="J35" s="5">
        <v>0.66666666666666596</v>
      </c>
    </row>
    <row r="36" spans="1:10" ht="14.4" x14ac:dyDescent="0.25">
      <c r="A36" s="8" t="s">
        <v>132</v>
      </c>
      <c r="B36" s="4" t="s">
        <v>44</v>
      </c>
      <c r="C36" s="4">
        <v>0.54011523431417297</v>
      </c>
      <c r="D36" s="5">
        <f t="shared" si="0"/>
        <v>1</v>
      </c>
      <c r="E36" s="5">
        <v>3.4759358288769998E-2</v>
      </c>
      <c r="F36" s="5">
        <f t="shared" si="1"/>
        <v>6.2887793698410605E-2</v>
      </c>
      <c r="G36" s="5">
        <f t="shared" si="2"/>
        <v>0.93711220630158942</v>
      </c>
      <c r="H36" s="5">
        <f t="shared" si="3"/>
        <v>0.4859357822951797</v>
      </c>
      <c r="I36" s="5">
        <f t="shared" si="4"/>
        <v>0.93711220630158942</v>
      </c>
      <c r="J36" s="5">
        <v>0.97054698457222999</v>
      </c>
    </row>
    <row r="37" spans="1:10" ht="14.4" x14ac:dyDescent="0.25">
      <c r="A37" s="8" t="s">
        <v>2</v>
      </c>
      <c r="B37" s="4" t="s">
        <v>45</v>
      </c>
      <c r="C37" s="4">
        <v>0.34349855934823598</v>
      </c>
      <c r="D37" s="5">
        <f t="shared" si="0"/>
        <v>0.54832638057560701</v>
      </c>
      <c r="E37" s="5">
        <v>0.334816462736373</v>
      </c>
      <c r="F37" s="5">
        <f t="shared" si="1"/>
        <v>0.60576114381833412</v>
      </c>
      <c r="G37" s="5">
        <f t="shared" si="2"/>
        <v>0.39423885618166588</v>
      </c>
      <c r="H37" s="5">
        <f t="shared" si="3"/>
        <v>0.36452765945901944</v>
      </c>
      <c r="I37" s="5">
        <f t="shared" si="4"/>
        <v>0.39423885618166588</v>
      </c>
      <c r="J37" s="5">
        <v>0.66666666666666596</v>
      </c>
    </row>
    <row r="38" spans="1:10" ht="14.4" x14ac:dyDescent="0.25">
      <c r="A38" s="8" t="s">
        <v>133</v>
      </c>
      <c r="B38" s="4" t="s">
        <v>46</v>
      </c>
      <c r="C38" s="4">
        <v>0.38088348188852</v>
      </c>
      <c r="D38" s="5">
        <f t="shared" si="0"/>
        <v>0.63420812625458389</v>
      </c>
      <c r="E38" s="5">
        <v>0.31858599002385601</v>
      </c>
      <c r="F38" s="5">
        <f t="shared" si="1"/>
        <v>0.5763964296860189</v>
      </c>
      <c r="G38" s="5">
        <f t="shared" si="2"/>
        <v>0.4236035703139811</v>
      </c>
      <c r="H38" s="5">
        <f t="shared" si="3"/>
        <v>0.37109478016891856</v>
      </c>
      <c r="I38" s="5">
        <f t="shared" si="4"/>
        <v>0.42360357031398116</v>
      </c>
      <c r="J38" s="5">
        <v>0.90909090909090895</v>
      </c>
    </row>
    <row r="39" spans="1:10" ht="14.4" x14ac:dyDescent="0.25">
      <c r="A39" s="8" t="s">
        <v>134</v>
      </c>
      <c r="B39" s="4" t="s">
        <v>47</v>
      </c>
      <c r="C39" s="4">
        <v>0.35230795845627899</v>
      </c>
      <c r="D39" s="5">
        <f t="shared" si="0"/>
        <v>0.56856359179267779</v>
      </c>
      <c r="E39" s="5">
        <v>0</v>
      </c>
      <c r="F39" s="5">
        <f t="shared" si="1"/>
        <v>0</v>
      </c>
      <c r="G39" s="5">
        <f t="shared" si="2"/>
        <v>1</v>
      </c>
      <c r="H39" s="5">
        <f t="shared" si="3"/>
        <v>0.5</v>
      </c>
      <c r="I39" s="5">
        <f t="shared" si="4"/>
        <v>1</v>
      </c>
      <c r="J39" s="5">
        <v>0.66666666666666596</v>
      </c>
    </row>
    <row r="40" spans="1:10" ht="14.4" x14ac:dyDescent="0.25">
      <c r="A40" s="8" t="s">
        <v>135</v>
      </c>
      <c r="B40" s="4" t="s">
        <v>48</v>
      </c>
      <c r="C40" s="4">
        <v>0.40405844646074102</v>
      </c>
      <c r="D40" s="5">
        <f t="shared" si="0"/>
        <v>0.68744633776528408</v>
      </c>
      <c r="E40" s="5">
        <v>0.35531135531135499</v>
      </c>
      <c r="F40" s="5">
        <f t="shared" si="1"/>
        <v>0.64284118900843656</v>
      </c>
      <c r="G40" s="5">
        <f t="shared" si="2"/>
        <v>0.35715881099156344</v>
      </c>
      <c r="H40" s="5">
        <f t="shared" si="3"/>
        <v>0.35623508315145924</v>
      </c>
      <c r="I40" s="5">
        <f t="shared" si="4"/>
        <v>0.3571588109915636</v>
      </c>
      <c r="J40" s="5">
        <v>0.78313253012048101</v>
      </c>
    </row>
    <row r="41" spans="1:10" ht="14.4" x14ac:dyDescent="0.25">
      <c r="A41" s="8" t="s">
        <v>181</v>
      </c>
      <c r="B41" s="4" t="s">
        <v>49</v>
      </c>
      <c r="C41" s="4">
        <v>0.19270848481438499</v>
      </c>
      <c r="D41" s="5">
        <f t="shared" si="0"/>
        <v>0.20192697803369206</v>
      </c>
      <c r="E41" s="5">
        <v>0.55272026961964305</v>
      </c>
      <c r="F41" s="5">
        <f t="shared" si="1"/>
        <v>1</v>
      </c>
      <c r="G41" s="5">
        <f t="shared" si="2"/>
        <v>0</v>
      </c>
      <c r="H41" s="5">
        <f t="shared" si="3"/>
        <v>0.27636013480982152</v>
      </c>
      <c r="I41" s="5">
        <f t="shared" si="4"/>
        <v>0</v>
      </c>
      <c r="J41" s="5">
        <v>0.66666666666666596</v>
      </c>
    </row>
    <row r="42" spans="1:10" ht="14.4" x14ac:dyDescent="0.25">
      <c r="A42" s="8" t="s">
        <v>182</v>
      </c>
      <c r="B42" s="4" t="s">
        <v>50</v>
      </c>
      <c r="C42" s="4">
        <v>0.31119719566756499</v>
      </c>
      <c r="D42" s="5">
        <f t="shared" si="0"/>
        <v>0.47412273610587985</v>
      </c>
      <c r="E42" s="5">
        <v>0.28962953448616402</v>
      </c>
      <c r="F42" s="5">
        <f t="shared" si="1"/>
        <v>0.52400744174892278</v>
      </c>
      <c r="G42" s="5">
        <f t="shared" si="2"/>
        <v>0.47599255825107722</v>
      </c>
      <c r="H42" s="5">
        <f t="shared" si="3"/>
        <v>0.38281104636862062</v>
      </c>
      <c r="I42" s="5">
        <f t="shared" si="4"/>
        <v>0.47599255825107728</v>
      </c>
      <c r="J42" s="5">
        <v>0.85714285714285698</v>
      </c>
    </row>
    <row r="43" spans="1:10" ht="14.4" x14ac:dyDescent="0.25">
      <c r="A43" s="8" t="s">
        <v>3</v>
      </c>
      <c r="B43" s="4" t="s">
        <v>51</v>
      </c>
      <c r="C43" s="4">
        <v>0.42230417646443702</v>
      </c>
      <c r="D43" s="5">
        <f t="shared" si="0"/>
        <v>0.72936096637568737</v>
      </c>
      <c r="E43" s="5">
        <v>0.32041871172305902</v>
      </c>
      <c r="F43" s="5">
        <f t="shared" si="1"/>
        <v>0.5797122510878</v>
      </c>
      <c r="G43" s="5">
        <f t="shared" si="2"/>
        <v>0.4202877489122</v>
      </c>
      <c r="H43" s="5">
        <f t="shared" si="3"/>
        <v>0.37035323031762951</v>
      </c>
      <c r="I43" s="5">
        <f t="shared" si="4"/>
        <v>0.4202877489122</v>
      </c>
      <c r="J43" s="5">
        <v>0.97872340425531901</v>
      </c>
    </row>
    <row r="44" spans="1:10" ht="14.4" x14ac:dyDescent="0.25">
      <c r="A44" s="8" t="s">
        <v>136</v>
      </c>
      <c r="B44" s="4" t="s">
        <v>52</v>
      </c>
      <c r="C44" s="4">
        <v>0.360510179163886</v>
      </c>
      <c r="D44" s="5">
        <f t="shared" si="0"/>
        <v>0.58740597489657465</v>
      </c>
      <c r="E44" s="5">
        <v>0.29464786975235402</v>
      </c>
      <c r="F44" s="5">
        <f t="shared" si="1"/>
        <v>0.53308678177320556</v>
      </c>
      <c r="G44" s="5">
        <f t="shared" si="2"/>
        <v>0.46691321822679444</v>
      </c>
      <c r="H44" s="5">
        <f t="shared" si="3"/>
        <v>0.38078054398957423</v>
      </c>
      <c r="I44" s="5">
        <f t="shared" si="4"/>
        <v>0.46691321822679449</v>
      </c>
      <c r="J44" s="5">
        <v>0.87301587301587302</v>
      </c>
    </row>
    <row r="45" spans="1:10" ht="14.4" x14ac:dyDescent="0.25">
      <c r="A45" s="8" t="s">
        <v>137</v>
      </c>
      <c r="B45" s="4" t="s">
        <v>53</v>
      </c>
      <c r="C45" s="4">
        <v>0.359570496003708</v>
      </c>
      <c r="D45" s="5">
        <f t="shared" si="0"/>
        <v>0.58524730705142225</v>
      </c>
      <c r="E45" s="5">
        <v>0.38996138996138902</v>
      </c>
      <c r="F45" s="5">
        <f t="shared" si="1"/>
        <v>0.70553119072282755</v>
      </c>
      <c r="G45" s="5">
        <f t="shared" si="2"/>
        <v>0.29446880927717245</v>
      </c>
      <c r="H45" s="5">
        <f t="shared" si="3"/>
        <v>0.34221509961928076</v>
      </c>
      <c r="I45" s="5">
        <f t="shared" si="4"/>
        <v>0.29446880927717251</v>
      </c>
      <c r="J45" s="5">
        <v>0.95535714285714202</v>
      </c>
    </row>
    <row r="46" spans="1:10" ht="14.4" x14ac:dyDescent="0.25">
      <c r="A46" s="8" t="s">
        <v>183</v>
      </c>
      <c r="B46" s="4" t="s">
        <v>54</v>
      </c>
      <c r="C46" s="4">
        <v>0.37771799775989401</v>
      </c>
      <c r="D46" s="5">
        <f t="shared" si="0"/>
        <v>0.62693628283715919</v>
      </c>
      <c r="E46" s="5">
        <v>0.27327131700870699</v>
      </c>
      <c r="F46" s="5">
        <f t="shared" si="1"/>
        <v>0.4944116075148825</v>
      </c>
      <c r="G46" s="5">
        <f t="shared" si="2"/>
        <v>0.50558839248511744</v>
      </c>
      <c r="H46" s="5">
        <f t="shared" si="3"/>
        <v>0.38942985474691222</v>
      </c>
      <c r="I46" s="5">
        <f t="shared" si="4"/>
        <v>0.50558839248511733</v>
      </c>
      <c r="J46" s="5">
        <v>0.8</v>
      </c>
    </row>
    <row r="47" spans="1:10" ht="14.4" x14ac:dyDescent="0.25">
      <c r="A47" s="8" t="s">
        <v>138</v>
      </c>
      <c r="B47" s="4" t="s">
        <v>55</v>
      </c>
      <c r="C47" s="4">
        <v>0.38195597156588401</v>
      </c>
      <c r="D47" s="5">
        <f t="shared" si="0"/>
        <v>0.63667188114441831</v>
      </c>
      <c r="E47" s="5">
        <v>0.30993150684931497</v>
      </c>
      <c r="F47" s="5">
        <f t="shared" si="1"/>
        <v>0.56073844923870031</v>
      </c>
      <c r="G47" s="5">
        <f t="shared" si="2"/>
        <v>0.43926155076129969</v>
      </c>
      <c r="H47" s="5">
        <f t="shared" si="3"/>
        <v>0.37459652880530736</v>
      </c>
      <c r="I47" s="5">
        <f t="shared" si="4"/>
        <v>0.43926155076129986</v>
      </c>
      <c r="J47" s="5">
        <v>0.925081433224755</v>
      </c>
    </row>
    <row r="48" spans="1:10" ht="14.4" x14ac:dyDescent="0.25">
      <c r="A48" s="8" t="s">
        <v>139</v>
      </c>
      <c r="B48" s="4" t="s">
        <v>56</v>
      </c>
      <c r="C48" s="4">
        <v>0.31668158658699802</v>
      </c>
      <c r="D48" s="5">
        <f t="shared" si="0"/>
        <v>0.48672164053424405</v>
      </c>
      <c r="E48" s="5">
        <v>0.23224221505025</v>
      </c>
      <c r="F48" s="5">
        <f t="shared" si="1"/>
        <v>0.42018038384962531</v>
      </c>
      <c r="G48" s="5">
        <f t="shared" si="2"/>
        <v>0.57981961615037469</v>
      </c>
      <c r="H48" s="5">
        <f t="shared" si="3"/>
        <v>0.40603091560031235</v>
      </c>
      <c r="I48" s="5">
        <f t="shared" si="4"/>
        <v>0.57981961615037469</v>
      </c>
      <c r="J48" s="5">
        <v>0.85714285714285698</v>
      </c>
    </row>
    <row r="49" spans="1:10" ht="14.4" x14ac:dyDescent="0.25">
      <c r="A49" s="8" t="s">
        <v>140</v>
      </c>
      <c r="B49" s="4" t="s">
        <v>57</v>
      </c>
      <c r="C49" s="4">
        <v>0.34410507615725999</v>
      </c>
      <c r="D49" s="5">
        <f t="shared" si="0"/>
        <v>0.54971968886149414</v>
      </c>
      <c r="E49" s="5">
        <v>0.32543339916611802</v>
      </c>
      <c r="F49" s="5">
        <f t="shared" si="1"/>
        <v>0.58878499134845641</v>
      </c>
      <c r="G49" s="5">
        <f t="shared" si="2"/>
        <v>0.41121500865154359</v>
      </c>
      <c r="H49" s="5">
        <f t="shared" si="3"/>
        <v>0.36832420390883081</v>
      </c>
      <c r="I49" s="5">
        <f t="shared" si="4"/>
        <v>0.41121500865154359</v>
      </c>
      <c r="J49" s="5">
        <v>0.75</v>
      </c>
    </row>
    <row r="50" spans="1:10" ht="14.4" x14ac:dyDescent="0.25">
      <c r="A50" s="8" t="s">
        <v>141</v>
      </c>
      <c r="B50" s="4" t="s">
        <v>58</v>
      </c>
      <c r="C50" s="4">
        <v>0.303040203695504</v>
      </c>
      <c r="D50" s="5">
        <f t="shared" si="0"/>
        <v>0.45538425378603187</v>
      </c>
      <c r="E50" s="5">
        <v>0.26047099731310203</v>
      </c>
      <c r="F50" s="5">
        <f t="shared" si="1"/>
        <v>0.47125284095759024</v>
      </c>
      <c r="G50" s="5">
        <f t="shared" si="2"/>
        <v>0.52874715904240976</v>
      </c>
      <c r="H50" s="5">
        <f t="shared" si="3"/>
        <v>0.39460907817775592</v>
      </c>
      <c r="I50" s="5">
        <f t="shared" si="4"/>
        <v>0.52874715904240988</v>
      </c>
      <c r="J50" s="5">
        <v>0.66666666666666596</v>
      </c>
    </row>
    <row r="51" spans="1:10" ht="14.4" x14ac:dyDescent="0.25">
      <c r="A51" s="8" t="s">
        <v>142</v>
      </c>
      <c r="B51" s="4" t="s">
        <v>59</v>
      </c>
      <c r="C51" s="4">
        <v>0.40488803690088998</v>
      </c>
      <c r="D51" s="5">
        <f t="shared" si="0"/>
        <v>0.68935209736988967</v>
      </c>
      <c r="E51" s="5">
        <v>0.26546906187624703</v>
      </c>
      <c r="F51" s="5">
        <f t="shared" si="1"/>
        <v>0.48029550654787956</v>
      </c>
      <c r="G51" s="5">
        <f t="shared" si="2"/>
        <v>0.51970449345212044</v>
      </c>
      <c r="H51" s="5">
        <f t="shared" si="3"/>
        <v>0.39258677766418371</v>
      </c>
      <c r="I51" s="5">
        <f t="shared" si="4"/>
        <v>0.51970449345212033</v>
      </c>
      <c r="J51" s="5">
        <v>0.66666666666666596</v>
      </c>
    </row>
    <row r="52" spans="1:10" ht="14.4" x14ac:dyDescent="0.25">
      <c r="A52" s="8" t="s">
        <v>143</v>
      </c>
      <c r="B52" s="4" t="s">
        <v>60</v>
      </c>
      <c r="C52" s="4">
        <v>0.36917814158607698</v>
      </c>
      <c r="D52" s="5">
        <f t="shared" si="0"/>
        <v>0.60731827359119916</v>
      </c>
      <c r="E52" s="5">
        <v>0.3131835012486</v>
      </c>
      <c r="F52" s="5">
        <f t="shared" si="1"/>
        <v>0.56662206628339984</v>
      </c>
      <c r="G52" s="5">
        <f t="shared" si="2"/>
        <v>0.43337793371660016</v>
      </c>
      <c r="H52" s="5">
        <f t="shared" si="3"/>
        <v>0.37328071748260006</v>
      </c>
      <c r="I52" s="5">
        <f t="shared" si="4"/>
        <v>0.43337793371659999</v>
      </c>
      <c r="J52" s="5">
        <v>0.83333333333333304</v>
      </c>
    </row>
    <row r="53" spans="1:10" ht="14.4" x14ac:dyDescent="0.25">
      <c r="A53" s="8" t="s">
        <v>144</v>
      </c>
      <c r="B53" s="4" t="s">
        <v>61</v>
      </c>
      <c r="C53" s="4">
        <v>0.31258605734689598</v>
      </c>
      <c r="D53" s="5">
        <f t="shared" si="0"/>
        <v>0.47731327008114899</v>
      </c>
      <c r="E53" s="5">
        <v>0.240626405934496</v>
      </c>
      <c r="F53" s="5">
        <f t="shared" si="1"/>
        <v>0.43534934244420626</v>
      </c>
      <c r="G53" s="5">
        <f t="shared" si="2"/>
        <v>0.56465065755579369</v>
      </c>
      <c r="H53" s="5">
        <f t="shared" si="3"/>
        <v>0.40263853174514486</v>
      </c>
      <c r="I53" s="5">
        <f t="shared" si="4"/>
        <v>0.56465065755579369</v>
      </c>
      <c r="J53" s="5">
        <v>0.75</v>
      </c>
    </row>
    <row r="54" spans="1:10" ht="14.4" x14ac:dyDescent="0.25">
      <c r="A54" s="8" t="s">
        <v>145</v>
      </c>
      <c r="B54" s="4" t="s">
        <v>62</v>
      </c>
      <c r="C54" s="4">
        <v>0.305973465760425</v>
      </c>
      <c r="D54" s="5">
        <f t="shared" si="0"/>
        <v>0.46212262983583879</v>
      </c>
      <c r="E54" s="5">
        <v>0.24223602484472001</v>
      </c>
      <c r="F54" s="5">
        <f t="shared" si="1"/>
        <v>0.43826151881749481</v>
      </c>
      <c r="G54" s="5">
        <f t="shared" si="2"/>
        <v>0.56173848118250524</v>
      </c>
      <c r="H54" s="5">
        <f t="shared" si="3"/>
        <v>0.4019872530136126</v>
      </c>
      <c r="I54" s="5">
        <f t="shared" si="4"/>
        <v>0.56173848118250524</v>
      </c>
      <c r="J54" s="5">
        <v>8.9178942320660495E-2</v>
      </c>
    </row>
    <row r="55" spans="1:10" ht="14.4" x14ac:dyDescent="0.25">
      <c r="A55" s="8" t="s">
        <v>146</v>
      </c>
      <c r="B55" s="4" t="s">
        <v>63</v>
      </c>
      <c r="C55" s="4">
        <v>0.40452847398598901</v>
      </c>
      <c r="D55" s="5">
        <f t="shared" si="0"/>
        <v>0.6885260988465588</v>
      </c>
      <c r="E55" s="5">
        <v>0.32404181184668901</v>
      </c>
      <c r="F55" s="5">
        <f t="shared" si="1"/>
        <v>0.58626728502227687</v>
      </c>
      <c r="G55" s="5">
        <f t="shared" si="2"/>
        <v>0.41373271497772313</v>
      </c>
      <c r="H55" s="5">
        <f t="shared" si="3"/>
        <v>0.36888726341220607</v>
      </c>
      <c r="I55" s="5">
        <f t="shared" si="4"/>
        <v>0.41373271497772318</v>
      </c>
      <c r="J55" s="5">
        <v>0.88793103448275801</v>
      </c>
    </row>
    <row r="56" spans="1:10" ht="14.4" x14ac:dyDescent="0.25">
      <c r="A56" s="8" t="s">
        <v>147</v>
      </c>
      <c r="B56" s="4" t="s">
        <v>64</v>
      </c>
      <c r="C56" s="4">
        <v>0.38022018368703198</v>
      </c>
      <c r="D56" s="5">
        <f t="shared" si="0"/>
        <v>0.63268437808075428</v>
      </c>
      <c r="E56" s="5">
        <v>0.29118247323920199</v>
      </c>
      <c r="F56" s="5">
        <f t="shared" si="1"/>
        <v>0.52681707048590876</v>
      </c>
      <c r="G56" s="5">
        <f t="shared" si="2"/>
        <v>0.47318292951409124</v>
      </c>
      <c r="H56" s="5">
        <f t="shared" si="3"/>
        <v>0.38218270137664662</v>
      </c>
      <c r="I56" s="5">
        <f t="shared" si="4"/>
        <v>0.47318292951409124</v>
      </c>
      <c r="J56" s="5">
        <v>0.95</v>
      </c>
    </row>
    <row r="57" spans="1:10" ht="14.4" x14ac:dyDescent="0.25">
      <c r="A57" s="8" t="s">
        <v>148</v>
      </c>
      <c r="B57" s="4" t="s">
        <v>65</v>
      </c>
      <c r="C57" s="4">
        <v>0.38646206329487098</v>
      </c>
      <c r="D57" s="5">
        <f t="shared" si="0"/>
        <v>0.6470234078450019</v>
      </c>
      <c r="E57" s="5">
        <v>0.375934698515343</v>
      </c>
      <c r="F57" s="5">
        <f t="shared" si="1"/>
        <v>0.68015363137314322</v>
      </c>
      <c r="G57" s="5">
        <f t="shared" si="2"/>
        <v>0.31984636862685678</v>
      </c>
      <c r="H57" s="5">
        <f t="shared" si="3"/>
        <v>0.34789053357109989</v>
      </c>
      <c r="I57" s="5">
        <f t="shared" si="4"/>
        <v>0.31984636862685673</v>
      </c>
      <c r="J57" s="5">
        <v>0.92592592592592504</v>
      </c>
    </row>
    <row r="58" spans="1:10" ht="14.4" x14ac:dyDescent="0.25">
      <c r="A58" s="8" t="s">
        <v>149</v>
      </c>
      <c r="B58" s="4" t="s">
        <v>66</v>
      </c>
      <c r="C58" s="4">
        <v>0.339785638531582</v>
      </c>
      <c r="D58" s="5">
        <f t="shared" si="0"/>
        <v>0.53979694946715806</v>
      </c>
      <c r="E58" s="5">
        <v>0.37398833051006902</v>
      </c>
      <c r="F58" s="5">
        <f t="shared" si="1"/>
        <v>0.67663219727300894</v>
      </c>
      <c r="G58" s="5">
        <f t="shared" si="2"/>
        <v>0.32336780272699106</v>
      </c>
      <c r="H58" s="5">
        <f t="shared" si="3"/>
        <v>0.34867806661853007</v>
      </c>
      <c r="I58" s="5">
        <f t="shared" si="4"/>
        <v>0.32336780272699123</v>
      </c>
      <c r="J58" s="5">
        <v>0.66666666666666596</v>
      </c>
    </row>
    <row r="59" spans="1:10" ht="14.4" x14ac:dyDescent="0.25">
      <c r="A59" s="8" t="s">
        <v>150</v>
      </c>
      <c r="B59" s="4" t="s">
        <v>67</v>
      </c>
      <c r="C59" s="4">
        <v>0.36843681014906998</v>
      </c>
      <c r="D59" s="5">
        <f t="shared" si="0"/>
        <v>0.60561526516933439</v>
      </c>
      <c r="E59" s="5">
        <v>0.31371535598952</v>
      </c>
      <c r="F59" s="5">
        <f t="shared" si="1"/>
        <v>0.56758431567093537</v>
      </c>
      <c r="G59" s="5">
        <f t="shared" si="2"/>
        <v>0.43241568432906463</v>
      </c>
      <c r="H59" s="5">
        <f t="shared" si="3"/>
        <v>0.37306552015929229</v>
      </c>
      <c r="I59" s="5">
        <f t="shared" si="4"/>
        <v>0.43241568432906452</v>
      </c>
      <c r="J59" s="5">
        <v>0.93023255813953398</v>
      </c>
    </row>
    <row r="60" spans="1:10" ht="14.4" x14ac:dyDescent="0.25">
      <c r="A60" s="8" t="s">
        <v>151</v>
      </c>
      <c r="B60" s="4" t="s">
        <v>68</v>
      </c>
      <c r="C60" s="4">
        <v>0.29614636498951102</v>
      </c>
      <c r="D60" s="5">
        <f t="shared" si="0"/>
        <v>0.43954752437026251</v>
      </c>
      <c r="E60" s="5">
        <v>0.30460649328573802</v>
      </c>
      <c r="F60" s="5">
        <f t="shared" si="1"/>
        <v>0.55110425658055628</v>
      </c>
      <c r="G60" s="5">
        <f t="shared" si="2"/>
        <v>0.44889574341944372</v>
      </c>
      <c r="H60" s="5">
        <f t="shared" si="3"/>
        <v>0.3767511183525909</v>
      </c>
      <c r="I60" s="5">
        <f t="shared" si="4"/>
        <v>0.44889574341944388</v>
      </c>
      <c r="J60" s="5">
        <v>0.875</v>
      </c>
    </row>
    <row r="61" spans="1:10" ht="14.4" x14ac:dyDescent="0.25">
      <c r="A61" s="8" t="s">
        <v>152</v>
      </c>
      <c r="B61" s="4" t="s">
        <v>69</v>
      </c>
      <c r="C61" s="4">
        <v>0.35915928661462398</v>
      </c>
      <c r="D61" s="5">
        <f t="shared" si="0"/>
        <v>0.58430266472573422</v>
      </c>
      <c r="E61" s="5">
        <v>0.30296803394156901</v>
      </c>
      <c r="F61" s="5">
        <f t="shared" si="1"/>
        <v>0.54813990112947697</v>
      </c>
      <c r="G61" s="5">
        <f t="shared" si="2"/>
        <v>0.45186009887052303</v>
      </c>
      <c r="H61" s="5">
        <f t="shared" si="3"/>
        <v>0.37741406640604602</v>
      </c>
      <c r="I61" s="5">
        <f t="shared" si="4"/>
        <v>0.45186009887052309</v>
      </c>
      <c r="J61" s="5">
        <v>0.88535031847133705</v>
      </c>
    </row>
    <row r="62" spans="1:10" ht="14.4" x14ac:dyDescent="0.25">
      <c r="A62" s="8" t="s">
        <v>4</v>
      </c>
      <c r="B62" s="4" t="s">
        <v>70</v>
      </c>
      <c r="C62" s="4">
        <v>0.37906916807603003</v>
      </c>
      <c r="D62" s="5">
        <f t="shared" si="0"/>
        <v>0.63004023110224761</v>
      </c>
      <c r="E62" s="5">
        <v>0.179081703426272</v>
      </c>
      <c r="F62" s="5">
        <f t="shared" si="1"/>
        <v>0.32400060802819458</v>
      </c>
      <c r="G62" s="5">
        <f t="shared" si="2"/>
        <v>0.67599939197180547</v>
      </c>
      <c r="H62" s="5">
        <f t="shared" si="3"/>
        <v>0.42754054769903871</v>
      </c>
      <c r="I62" s="5">
        <f t="shared" si="4"/>
        <v>0.67599939197180547</v>
      </c>
      <c r="J62" s="5">
        <v>0.66666666666666596</v>
      </c>
    </row>
    <row r="63" spans="1:10" ht="14.4" x14ac:dyDescent="0.25">
      <c r="A63" s="8" t="s">
        <v>153</v>
      </c>
      <c r="B63" s="4" t="s">
        <v>71</v>
      </c>
      <c r="C63" s="4">
        <v>0.32258329684387399</v>
      </c>
      <c r="D63" s="5">
        <f t="shared" si="0"/>
        <v>0.50027922324170793</v>
      </c>
      <c r="E63" s="5">
        <v>0.213235294117647</v>
      </c>
      <c r="F63" s="5">
        <f t="shared" si="1"/>
        <v>0.38579242672678865</v>
      </c>
      <c r="G63" s="5">
        <f t="shared" si="2"/>
        <v>0.61420757327321129</v>
      </c>
      <c r="H63" s="5">
        <f t="shared" si="3"/>
        <v>0.41372143369542913</v>
      </c>
      <c r="I63" s="5">
        <f t="shared" si="4"/>
        <v>0.61420757327321118</v>
      </c>
      <c r="J63" s="5">
        <v>0.85714285714285698</v>
      </c>
    </row>
    <row r="64" spans="1:10" ht="14.4" x14ac:dyDescent="0.25">
      <c r="A64" s="8" t="s">
        <v>154</v>
      </c>
      <c r="B64" s="4" t="s">
        <v>72</v>
      </c>
      <c r="C64" s="4">
        <v>0.27313720858545898</v>
      </c>
      <c r="D64" s="5">
        <f t="shared" si="0"/>
        <v>0.38669021226934014</v>
      </c>
      <c r="E64" s="5">
        <v>0.361552354929838</v>
      </c>
      <c r="F64" s="5">
        <f t="shared" si="1"/>
        <v>0.65413261427637148</v>
      </c>
      <c r="G64" s="5">
        <f t="shared" si="2"/>
        <v>0.34586738572362852</v>
      </c>
      <c r="H64" s="5">
        <f t="shared" si="3"/>
        <v>0.35370987032673329</v>
      </c>
      <c r="I64" s="5">
        <f t="shared" si="4"/>
        <v>0.34586738572362863</v>
      </c>
      <c r="J64" s="5">
        <v>0.66666666666666596</v>
      </c>
    </row>
    <row r="65" spans="1:10" ht="14.4" x14ac:dyDescent="0.25">
      <c r="A65" s="8" t="s">
        <v>184</v>
      </c>
      <c r="B65" s="4" t="s">
        <v>73</v>
      </c>
      <c r="C65" s="4">
        <v>0.267543051470574</v>
      </c>
      <c r="D65" s="5">
        <f t="shared" si="0"/>
        <v>0.37383914970230936</v>
      </c>
      <c r="E65" s="5">
        <v>0.35438114847860902</v>
      </c>
      <c r="F65" s="5">
        <f t="shared" si="1"/>
        <v>0.64115822769170017</v>
      </c>
      <c r="G65" s="5">
        <f t="shared" si="2"/>
        <v>0.35884177230829983</v>
      </c>
      <c r="H65" s="5">
        <f t="shared" si="3"/>
        <v>0.35661146039345443</v>
      </c>
      <c r="I65" s="5">
        <f t="shared" si="4"/>
        <v>0.35884177230829989</v>
      </c>
      <c r="J65" s="5">
        <v>0.66666666666666596</v>
      </c>
    </row>
    <row r="66" spans="1:10" ht="14.4" x14ac:dyDescent="0.25">
      <c r="A66" s="8" t="s">
        <v>108</v>
      </c>
      <c r="B66" s="4" t="s">
        <v>74</v>
      </c>
      <c r="C66" s="4">
        <v>0.237251503757752</v>
      </c>
      <c r="D66" s="5">
        <f t="shared" si="0"/>
        <v>0.30425251369706036</v>
      </c>
      <c r="E66" s="5">
        <v>0.46679561573178502</v>
      </c>
      <c r="F66" s="5">
        <f t="shared" si="1"/>
        <v>0.84454224205132289</v>
      </c>
      <c r="G66" s="5">
        <f t="shared" si="2"/>
        <v>0.15545775794867711</v>
      </c>
      <c r="H66" s="5">
        <f t="shared" si="3"/>
        <v>0.31112668684023104</v>
      </c>
      <c r="I66" s="5">
        <f t="shared" si="4"/>
        <v>0.15545775794867697</v>
      </c>
      <c r="J66" s="5">
        <v>0.66666666666666596</v>
      </c>
    </row>
    <row r="67" spans="1:10" ht="14.4" x14ac:dyDescent="0.25">
      <c r="A67" s="8" t="s">
        <v>155</v>
      </c>
      <c r="B67" s="4" t="s">
        <v>75</v>
      </c>
      <c r="C67" s="4">
        <v>0.39706377177398</v>
      </c>
      <c r="D67" s="5">
        <f t="shared" ref="D67:D95" si="5">(C67-$C$99)/($C$101-$C$99)</f>
        <v>0.67137796496316615</v>
      </c>
      <c r="E67" s="5">
        <v>0.33138711960368</v>
      </c>
      <c r="F67" s="5">
        <f t="shared" ref="F67:F95" si="6">(E67-$E$99)/($E$101-$E$99)</f>
        <v>0.59955666151293052</v>
      </c>
      <c r="G67" s="5">
        <f t="shared" ref="G67:G95" si="7">1-F67</f>
        <v>0.40044333848706948</v>
      </c>
      <c r="H67" s="5">
        <f t="shared" ref="H67:H95" si="8">(E67+G67)/2</f>
        <v>0.36591522904537477</v>
      </c>
      <c r="I67" s="5">
        <f t="shared" ref="I67:I95" si="9">(H67-$H$99)/($H$101-$H$99)</f>
        <v>0.40044333848706959</v>
      </c>
      <c r="J67" s="5">
        <v>0.66666666666666596</v>
      </c>
    </row>
    <row r="68" spans="1:10" ht="14.4" x14ac:dyDescent="0.25">
      <c r="A68" s="8" t="s">
        <v>185</v>
      </c>
      <c r="B68" s="4" t="s">
        <v>76</v>
      </c>
      <c r="C68" s="4">
        <v>0.10480826372664399</v>
      </c>
      <c r="D68" s="5">
        <f t="shared" si="5"/>
        <v>0</v>
      </c>
      <c r="E68" s="5">
        <v>7.5268817204300995E-2</v>
      </c>
      <c r="F68" s="5">
        <f t="shared" si="6"/>
        <v>0.13617886178861791</v>
      </c>
      <c r="G68" s="5">
        <f t="shared" si="7"/>
        <v>0.86382113821138207</v>
      </c>
      <c r="H68" s="5">
        <f t="shared" si="8"/>
        <v>0.46954497770784154</v>
      </c>
      <c r="I68" s="5">
        <f t="shared" si="9"/>
        <v>0.86382113821138207</v>
      </c>
      <c r="J68" s="5">
        <v>7.27036234128213E-2</v>
      </c>
    </row>
    <row r="69" spans="1:10" ht="14.4" x14ac:dyDescent="0.25">
      <c r="A69" s="8" t="s">
        <v>5</v>
      </c>
      <c r="B69" s="4" t="s">
        <v>77</v>
      </c>
      <c r="C69" s="4">
        <v>0.21384980855321101</v>
      </c>
      <c r="D69" s="5">
        <f t="shared" si="5"/>
        <v>0.25049344989673572</v>
      </c>
      <c r="E69" s="5">
        <v>9.2896174863387901E-2</v>
      </c>
      <c r="F69" s="5">
        <f t="shared" si="6"/>
        <v>0.16807086689133877</v>
      </c>
      <c r="G69" s="5">
        <f t="shared" si="7"/>
        <v>0.83192913310866123</v>
      </c>
      <c r="H69" s="5">
        <f t="shared" si="8"/>
        <v>0.46241265398602455</v>
      </c>
      <c r="I69" s="5">
        <f t="shared" si="9"/>
        <v>0.83192913310866112</v>
      </c>
      <c r="J69" s="5">
        <v>0.16116248348744999</v>
      </c>
    </row>
    <row r="70" spans="1:10" ht="14.4" x14ac:dyDescent="0.25">
      <c r="A70" s="8" t="s">
        <v>156</v>
      </c>
      <c r="B70" s="4" t="s">
        <v>78</v>
      </c>
      <c r="C70" s="4">
        <v>0.34532868875912298</v>
      </c>
      <c r="D70" s="5">
        <f t="shared" si="5"/>
        <v>0.55253060778661833</v>
      </c>
      <c r="E70" s="5">
        <v>0.30794137695978102</v>
      </c>
      <c r="F70" s="5">
        <f t="shared" si="6"/>
        <v>0.55713783967375086</v>
      </c>
      <c r="G70" s="5">
        <f t="shared" si="7"/>
        <v>0.44286216032624914</v>
      </c>
      <c r="H70" s="5">
        <f t="shared" si="8"/>
        <v>0.37540176864301511</v>
      </c>
      <c r="I70" s="5">
        <f t="shared" si="9"/>
        <v>0.44286216032624925</v>
      </c>
      <c r="J70" s="5">
        <v>0.66666666666666596</v>
      </c>
    </row>
    <row r="71" spans="1:10" ht="14.4" x14ac:dyDescent="0.25">
      <c r="A71" s="8" t="s">
        <v>157</v>
      </c>
      <c r="B71" s="4" t="s">
        <v>79</v>
      </c>
      <c r="C71" s="4">
        <v>0.10480826372664399</v>
      </c>
      <c r="D71" s="5">
        <f t="shared" si="5"/>
        <v>0</v>
      </c>
      <c r="E71" s="5">
        <v>0.36986301369863001</v>
      </c>
      <c r="F71" s="5">
        <f t="shared" si="6"/>
        <v>0.66916853610806226</v>
      </c>
      <c r="G71" s="5">
        <f t="shared" si="7"/>
        <v>0.33083146389193774</v>
      </c>
      <c r="H71" s="5">
        <f t="shared" si="8"/>
        <v>0.35034723879528384</v>
      </c>
      <c r="I71" s="5">
        <f t="shared" si="9"/>
        <v>0.33083146389193757</v>
      </c>
      <c r="J71" s="5">
        <v>0.90741340239559698</v>
      </c>
    </row>
    <row r="72" spans="1:10" ht="14.4" x14ac:dyDescent="0.25">
      <c r="A72" s="8" t="s">
        <v>158</v>
      </c>
      <c r="B72" s="4" t="s">
        <v>80</v>
      </c>
      <c r="C72" s="4">
        <v>0.33521897304679898</v>
      </c>
      <c r="D72" s="5">
        <f t="shared" si="5"/>
        <v>0.52930627094983618</v>
      </c>
      <c r="E72" s="5">
        <v>0.31465517241379298</v>
      </c>
      <c r="F72" s="5">
        <f t="shared" si="6"/>
        <v>0.56928466298209823</v>
      </c>
      <c r="G72" s="5">
        <f t="shared" si="7"/>
        <v>0.43071533701790177</v>
      </c>
      <c r="H72" s="5">
        <f t="shared" si="8"/>
        <v>0.37268525471584735</v>
      </c>
      <c r="I72" s="5">
        <f t="shared" si="9"/>
        <v>0.43071533701790171</v>
      </c>
      <c r="J72" s="5">
        <v>0.66666666666666596</v>
      </c>
    </row>
    <row r="73" spans="1:10" ht="14.4" x14ac:dyDescent="0.25">
      <c r="A73" s="8" t="s">
        <v>159</v>
      </c>
      <c r="B73" s="4" t="s">
        <v>81</v>
      </c>
      <c r="C73" s="4">
        <v>0.13632987226399501</v>
      </c>
      <c r="D73" s="5">
        <f t="shared" si="5"/>
        <v>7.2412367977491038E-2</v>
      </c>
      <c r="E73" s="5">
        <v>5.0251256281407001E-3</v>
      </c>
      <c r="F73" s="5">
        <f t="shared" si="6"/>
        <v>9.0916253742580541E-3</v>
      </c>
      <c r="G73" s="5">
        <f t="shared" si="7"/>
        <v>0.99090837462574199</v>
      </c>
      <c r="H73" s="5">
        <f t="shared" si="8"/>
        <v>0.49796675012694136</v>
      </c>
      <c r="I73" s="5">
        <f t="shared" si="9"/>
        <v>0.99090837462574211</v>
      </c>
      <c r="J73" s="5">
        <v>3.8167938931297697E-2</v>
      </c>
    </row>
    <row r="74" spans="1:10" ht="14.4" x14ac:dyDescent="0.25">
      <c r="A74" s="8" t="s">
        <v>160</v>
      </c>
      <c r="B74" s="4" t="s">
        <v>82</v>
      </c>
      <c r="C74" s="4">
        <v>0.37396435023846097</v>
      </c>
      <c r="D74" s="5">
        <f t="shared" si="5"/>
        <v>0.61831329314240024</v>
      </c>
      <c r="E74" s="5">
        <v>0.311728395061728</v>
      </c>
      <c r="F74" s="5">
        <f t="shared" si="6"/>
        <v>0.56398943949756952</v>
      </c>
      <c r="G74" s="5">
        <f t="shared" si="7"/>
        <v>0.43601056050243048</v>
      </c>
      <c r="H74" s="5">
        <f t="shared" si="8"/>
        <v>0.37386947778207924</v>
      </c>
      <c r="I74" s="5">
        <f t="shared" si="9"/>
        <v>0.43601056050243053</v>
      </c>
      <c r="J74" s="5">
        <v>0.66666666666666596</v>
      </c>
    </row>
    <row r="75" spans="1:10" ht="14.4" x14ac:dyDescent="0.25">
      <c r="A75" s="8" t="s">
        <v>186</v>
      </c>
      <c r="B75" s="4" t="s">
        <v>83</v>
      </c>
      <c r="C75" s="4">
        <v>0.31864120444381999</v>
      </c>
      <c r="D75" s="5">
        <f t="shared" si="5"/>
        <v>0.49122333241888605</v>
      </c>
      <c r="E75" s="5">
        <v>0.28725165562913901</v>
      </c>
      <c r="F75" s="5">
        <f t="shared" si="6"/>
        <v>0.5197053037819882</v>
      </c>
      <c r="G75" s="5">
        <f t="shared" si="7"/>
        <v>0.4802946962180118</v>
      </c>
      <c r="H75" s="5">
        <f t="shared" si="8"/>
        <v>0.3837731759235754</v>
      </c>
      <c r="I75" s="5">
        <f t="shared" si="9"/>
        <v>0.4802946962180118</v>
      </c>
      <c r="J75" s="5">
        <v>0.66666666666666596</v>
      </c>
    </row>
    <row r="76" spans="1:10" ht="14.4" x14ac:dyDescent="0.25">
      <c r="A76" s="8" t="s">
        <v>161</v>
      </c>
      <c r="B76" s="4" t="s">
        <v>84</v>
      </c>
      <c r="C76" s="4">
        <v>0.359642373814067</v>
      </c>
      <c r="D76" s="5">
        <f t="shared" si="5"/>
        <v>0.58541242687539841</v>
      </c>
      <c r="E76" s="5">
        <v>0.213343108504398</v>
      </c>
      <c r="F76" s="5">
        <f t="shared" si="6"/>
        <v>0.38598748812163342</v>
      </c>
      <c r="G76" s="5">
        <f t="shared" si="7"/>
        <v>0.61401251187836658</v>
      </c>
      <c r="H76" s="5">
        <f t="shared" si="8"/>
        <v>0.41367781019138228</v>
      </c>
      <c r="I76" s="5">
        <f t="shared" si="9"/>
        <v>0.61401251187836658</v>
      </c>
      <c r="J76" s="5">
        <v>0.66666666666666596</v>
      </c>
    </row>
    <row r="77" spans="1:10" ht="14.4" x14ac:dyDescent="0.25">
      <c r="A77" s="8" t="s">
        <v>162</v>
      </c>
      <c r="B77" s="4" t="s">
        <v>85</v>
      </c>
      <c r="C77" s="4">
        <v>0.38660008470870899</v>
      </c>
      <c r="D77" s="5">
        <f t="shared" si="5"/>
        <v>0.64734047470393985</v>
      </c>
      <c r="E77" s="5">
        <v>0.317722284628013</v>
      </c>
      <c r="F77" s="5">
        <f t="shared" si="6"/>
        <v>0.57483378499336568</v>
      </c>
      <c r="G77" s="5">
        <f t="shared" si="7"/>
        <v>0.42516621500663432</v>
      </c>
      <c r="H77" s="5">
        <f t="shared" si="8"/>
        <v>0.37144424981732366</v>
      </c>
      <c r="I77" s="5">
        <f t="shared" si="9"/>
        <v>0.42516621500663432</v>
      </c>
      <c r="J77" s="5">
        <v>0.62</v>
      </c>
    </row>
    <row r="78" spans="1:10" ht="14.4" x14ac:dyDescent="0.25">
      <c r="A78" s="8" t="s">
        <v>187</v>
      </c>
      <c r="B78" s="4" t="s">
        <v>86</v>
      </c>
      <c r="C78" s="4">
        <v>0.43076361131535501</v>
      </c>
      <c r="D78" s="5">
        <f t="shared" si="5"/>
        <v>0.74879422938891316</v>
      </c>
      <c r="E78" s="5">
        <v>0.29685408299866101</v>
      </c>
      <c r="F78" s="5">
        <f t="shared" si="6"/>
        <v>0.53707833657510429</v>
      </c>
      <c r="G78" s="5">
        <f t="shared" si="7"/>
        <v>0.46292166342489571</v>
      </c>
      <c r="H78" s="5">
        <f t="shared" si="8"/>
        <v>0.37988787321177836</v>
      </c>
      <c r="I78" s="5">
        <f t="shared" si="9"/>
        <v>0.46292166342489566</v>
      </c>
      <c r="J78" s="5">
        <v>0.88888888888888795</v>
      </c>
    </row>
    <row r="79" spans="1:10" ht="14.4" x14ac:dyDescent="0.25">
      <c r="A79" s="8" t="s">
        <v>163</v>
      </c>
      <c r="B79" s="4" t="s">
        <v>87</v>
      </c>
      <c r="C79" s="4">
        <v>0.32339760636859899</v>
      </c>
      <c r="D79" s="5">
        <f t="shared" si="5"/>
        <v>0.50214987907711972</v>
      </c>
      <c r="E79" s="5">
        <v>0.21165531883739599</v>
      </c>
      <c r="F79" s="5">
        <f t="shared" si="6"/>
        <v>0.38293388260041117</v>
      </c>
      <c r="G79" s="5">
        <f t="shared" si="7"/>
        <v>0.61706611739958883</v>
      </c>
      <c r="H79" s="5">
        <f t="shared" si="8"/>
        <v>0.4143607181184924</v>
      </c>
      <c r="I79" s="5">
        <f t="shared" si="9"/>
        <v>0.61706611739958872</v>
      </c>
      <c r="J79" s="5">
        <v>0.66666666666666596</v>
      </c>
    </row>
    <row r="80" spans="1:10" ht="14.4" x14ac:dyDescent="0.25">
      <c r="A80" s="8" t="s">
        <v>164</v>
      </c>
      <c r="B80" s="4" t="s">
        <v>88</v>
      </c>
      <c r="C80" s="4">
        <v>0.343914188298306</v>
      </c>
      <c r="D80" s="5">
        <f t="shared" si="5"/>
        <v>0.54928117564702306</v>
      </c>
      <c r="E80" s="5">
        <v>0.29468760441029002</v>
      </c>
      <c r="F80" s="5">
        <f t="shared" si="6"/>
        <v>0.53315867104544701</v>
      </c>
      <c r="G80" s="5">
        <f t="shared" si="7"/>
        <v>0.46684132895455299</v>
      </c>
      <c r="H80" s="5">
        <f t="shared" si="8"/>
        <v>0.38076446668242148</v>
      </c>
      <c r="I80" s="5">
        <f t="shared" si="9"/>
        <v>0.46684132895455283</v>
      </c>
      <c r="J80" s="5">
        <v>0.94117647058823495</v>
      </c>
    </row>
    <row r="81" spans="1:10" ht="14.4" x14ac:dyDescent="0.25">
      <c r="A81" s="8" t="s">
        <v>165</v>
      </c>
      <c r="B81" s="4" t="s">
        <v>89</v>
      </c>
      <c r="C81" s="4">
        <v>0.33573460586016002</v>
      </c>
      <c r="D81" s="5">
        <f t="shared" si="5"/>
        <v>0.53049079784281261</v>
      </c>
      <c r="E81" s="5">
        <v>0.33138711960368</v>
      </c>
      <c r="F81" s="5">
        <f t="shared" si="6"/>
        <v>0.59955666151293052</v>
      </c>
      <c r="G81" s="5">
        <f t="shared" si="7"/>
        <v>0.40044333848706948</v>
      </c>
      <c r="H81" s="5">
        <f t="shared" si="8"/>
        <v>0.36591522904537477</v>
      </c>
      <c r="I81" s="5">
        <f t="shared" si="9"/>
        <v>0.40044333848706959</v>
      </c>
      <c r="J81" s="5">
        <v>0.66666666666666596</v>
      </c>
    </row>
    <row r="82" spans="1:10" ht="14.4" x14ac:dyDescent="0.25">
      <c r="A82" s="8" t="s">
        <v>6</v>
      </c>
      <c r="B82" s="4" t="s">
        <v>90</v>
      </c>
      <c r="C82" s="4">
        <v>0.37951622731592599</v>
      </c>
      <c r="D82" s="5">
        <f t="shared" si="5"/>
        <v>0.63106722876160637</v>
      </c>
      <c r="E82" s="5">
        <v>0.24269005847953201</v>
      </c>
      <c r="F82" s="5">
        <f t="shared" si="6"/>
        <v>0.4390829716567845</v>
      </c>
      <c r="G82" s="5">
        <f t="shared" si="7"/>
        <v>0.56091702834321544</v>
      </c>
      <c r="H82" s="5">
        <f t="shared" si="8"/>
        <v>0.4018035434113737</v>
      </c>
      <c r="I82" s="5">
        <f t="shared" si="9"/>
        <v>0.56091702834321522</v>
      </c>
      <c r="J82" s="5">
        <v>0.88888888888888795</v>
      </c>
    </row>
    <row r="83" spans="1:10" ht="14.4" x14ac:dyDescent="0.25">
      <c r="A83" s="8" t="s">
        <v>166</v>
      </c>
      <c r="B83" s="4" t="s">
        <v>91</v>
      </c>
      <c r="C83" s="4">
        <v>0.37950112594422802</v>
      </c>
      <c r="D83" s="5">
        <f t="shared" si="5"/>
        <v>0.63103253744555055</v>
      </c>
      <c r="E83" s="5">
        <v>0.24137931034482701</v>
      </c>
      <c r="F83" s="5">
        <f t="shared" si="6"/>
        <v>0.43671152228763616</v>
      </c>
      <c r="G83" s="5">
        <f t="shared" si="7"/>
        <v>0.5632884777123639</v>
      </c>
      <c r="H83" s="5">
        <f t="shared" si="8"/>
        <v>0.40233389402859543</v>
      </c>
      <c r="I83" s="5">
        <f t="shared" si="9"/>
        <v>0.5632884777123639</v>
      </c>
      <c r="J83" s="5">
        <v>0.66666666666666596</v>
      </c>
    </row>
    <row r="84" spans="1:10" ht="14.4" x14ac:dyDescent="0.25">
      <c r="A84" s="8" t="s">
        <v>167</v>
      </c>
      <c r="B84" s="4" t="s">
        <v>92</v>
      </c>
      <c r="C84" s="4">
        <v>0.28539526278885002</v>
      </c>
      <c r="D84" s="5">
        <f t="shared" si="5"/>
        <v>0.41484977559277258</v>
      </c>
      <c r="E84" s="5">
        <v>0.201914426571665</v>
      </c>
      <c r="F84" s="5">
        <f t="shared" si="6"/>
        <v>0.36531033448549538</v>
      </c>
      <c r="G84" s="5">
        <f t="shared" si="7"/>
        <v>0.63468966551450468</v>
      </c>
      <c r="H84" s="5">
        <f t="shared" si="8"/>
        <v>0.41830204604308485</v>
      </c>
      <c r="I84" s="5">
        <f t="shared" si="9"/>
        <v>0.63468966551450479</v>
      </c>
      <c r="J84" s="5">
        <v>0.75</v>
      </c>
    </row>
    <row r="85" spans="1:10" ht="14.4" x14ac:dyDescent="0.25">
      <c r="A85" s="8" t="s">
        <v>168</v>
      </c>
      <c r="B85" s="4" t="s">
        <v>93</v>
      </c>
      <c r="C85" s="4">
        <v>0.31859363352127901</v>
      </c>
      <c r="D85" s="5">
        <f t="shared" si="5"/>
        <v>0.4911140510938552</v>
      </c>
      <c r="E85" s="5">
        <v>0.194709145214052</v>
      </c>
      <c r="F85" s="5">
        <f t="shared" si="6"/>
        <v>0.35227429844040636</v>
      </c>
      <c r="G85" s="5">
        <f t="shared" si="7"/>
        <v>0.64772570155959364</v>
      </c>
      <c r="H85" s="5">
        <f t="shared" si="8"/>
        <v>0.42121742338682283</v>
      </c>
      <c r="I85" s="5">
        <f t="shared" si="9"/>
        <v>0.64772570155959364</v>
      </c>
      <c r="J85" s="5">
        <v>0.66666666666666596</v>
      </c>
    </row>
    <row r="86" spans="1:10" ht="14.4" x14ac:dyDescent="0.25">
      <c r="A86" s="8" t="s">
        <v>169</v>
      </c>
      <c r="B86" s="4" t="s">
        <v>94</v>
      </c>
      <c r="C86" s="4">
        <v>0.36030049577114298</v>
      </c>
      <c r="D86" s="5">
        <f t="shared" si="5"/>
        <v>0.58692428402803654</v>
      </c>
      <c r="E86" s="5">
        <v>0.32271679067136499</v>
      </c>
      <c r="F86" s="5">
        <f t="shared" si="6"/>
        <v>0.58387001239061487</v>
      </c>
      <c r="G86" s="5">
        <f t="shared" si="7"/>
        <v>0.41612998760938513</v>
      </c>
      <c r="H86" s="5">
        <f t="shared" si="8"/>
        <v>0.36942338914037509</v>
      </c>
      <c r="I86" s="5">
        <f t="shared" si="9"/>
        <v>0.4161299876093853</v>
      </c>
      <c r="J86" s="5">
        <v>0.66666666666666596</v>
      </c>
    </row>
    <row r="87" spans="1:10" ht="14.4" x14ac:dyDescent="0.25">
      <c r="A87" s="8" t="s">
        <v>170</v>
      </c>
      <c r="B87" s="4" t="s">
        <v>95</v>
      </c>
      <c r="C87" s="4">
        <v>0.43435084608903801</v>
      </c>
      <c r="D87" s="5">
        <f t="shared" si="5"/>
        <v>0.75703493081586559</v>
      </c>
      <c r="E87" s="5">
        <v>0.29679368809803502</v>
      </c>
      <c r="F87" s="5">
        <f t="shared" si="6"/>
        <v>0.53696906810071388</v>
      </c>
      <c r="G87" s="5">
        <f t="shared" si="7"/>
        <v>0.46303093189928612</v>
      </c>
      <c r="H87" s="5">
        <f t="shared" si="8"/>
        <v>0.37991230999866055</v>
      </c>
      <c r="I87" s="5">
        <f t="shared" si="9"/>
        <v>0.46303093189928596</v>
      </c>
      <c r="J87" s="5">
        <v>0.95</v>
      </c>
    </row>
    <row r="88" spans="1:10" ht="14.4" x14ac:dyDescent="0.25">
      <c r="A88" s="8" t="s">
        <v>171</v>
      </c>
      <c r="B88" s="4" t="s">
        <v>96</v>
      </c>
      <c r="C88" s="4">
        <v>0.30537084697961703</v>
      </c>
      <c r="D88" s="5">
        <f t="shared" si="5"/>
        <v>0.46073827621523256</v>
      </c>
      <c r="E88" s="5">
        <v>0.37858534388986897</v>
      </c>
      <c r="F88" s="5">
        <f t="shared" si="6"/>
        <v>0.68494926764743802</v>
      </c>
      <c r="G88" s="5">
        <f t="shared" si="7"/>
        <v>0.31505073235256198</v>
      </c>
      <c r="H88" s="5">
        <f t="shared" si="8"/>
        <v>0.34681803812121548</v>
      </c>
      <c r="I88" s="5">
        <f t="shared" si="9"/>
        <v>0.31505073235256192</v>
      </c>
      <c r="J88" s="5">
        <v>0.66666666666666596</v>
      </c>
    </row>
    <row r="89" spans="1:10" ht="14.4" x14ac:dyDescent="0.25">
      <c r="A89" s="8" t="s">
        <v>188</v>
      </c>
      <c r="B89" s="4" t="s">
        <v>97</v>
      </c>
      <c r="C89" s="4">
        <v>0.38079314148697702</v>
      </c>
      <c r="D89" s="5">
        <f t="shared" si="5"/>
        <v>0.6340005936221037</v>
      </c>
      <c r="E89" s="5">
        <v>0.238401963039644</v>
      </c>
      <c r="F89" s="5">
        <f t="shared" si="6"/>
        <v>0.43132480595238781</v>
      </c>
      <c r="G89" s="5">
        <f t="shared" si="7"/>
        <v>0.56867519404761224</v>
      </c>
      <c r="H89" s="5">
        <f t="shared" si="8"/>
        <v>0.40353857854362812</v>
      </c>
      <c r="I89" s="5">
        <f t="shared" si="9"/>
        <v>0.56867519404761235</v>
      </c>
      <c r="J89" s="5">
        <v>0.93333333333333302</v>
      </c>
    </row>
    <row r="90" spans="1:10" ht="14.4" x14ac:dyDescent="0.25">
      <c r="A90" s="8" t="s">
        <v>172</v>
      </c>
      <c r="B90" s="4" t="s">
        <v>98</v>
      </c>
      <c r="C90" s="4">
        <v>0.305533348952373</v>
      </c>
      <c r="D90" s="5">
        <f t="shared" si="5"/>
        <v>0.46111158053548418</v>
      </c>
      <c r="E90" s="5">
        <v>0.18608976383478901</v>
      </c>
      <c r="F90" s="5">
        <f t="shared" si="6"/>
        <v>0.33667982533524149</v>
      </c>
      <c r="G90" s="5">
        <f t="shared" si="7"/>
        <v>0.66332017466475857</v>
      </c>
      <c r="H90" s="5">
        <f t="shared" si="8"/>
        <v>0.4247049692497738</v>
      </c>
      <c r="I90" s="5">
        <f t="shared" si="9"/>
        <v>0.66332017466475868</v>
      </c>
      <c r="J90" s="5">
        <v>0.66666666666666596</v>
      </c>
    </row>
    <row r="91" spans="1:10" ht="14.4" x14ac:dyDescent="0.25">
      <c r="A91" s="8" t="s">
        <v>173</v>
      </c>
      <c r="B91" s="4" t="s">
        <v>99</v>
      </c>
      <c r="C91" s="4">
        <v>0.23587747258800801</v>
      </c>
      <c r="D91" s="5">
        <f t="shared" si="5"/>
        <v>0.30109604880542429</v>
      </c>
      <c r="E91" s="5">
        <v>0.351228389444949</v>
      </c>
      <c r="F91" s="5">
        <f t="shared" si="6"/>
        <v>0.63545415058986054</v>
      </c>
      <c r="G91" s="5">
        <f t="shared" si="7"/>
        <v>0.36454584941013946</v>
      </c>
      <c r="H91" s="5">
        <f t="shared" si="8"/>
        <v>0.35788711942754425</v>
      </c>
      <c r="I91" s="5">
        <f t="shared" si="9"/>
        <v>0.36454584941013962</v>
      </c>
      <c r="J91" s="5">
        <v>0.66666666666666596</v>
      </c>
    </row>
    <row r="92" spans="1:10" ht="14.4" x14ac:dyDescent="0.25">
      <c r="A92" s="8" t="s">
        <v>174</v>
      </c>
      <c r="B92" s="4" t="s">
        <v>100</v>
      </c>
      <c r="C92" s="4">
        <v>0.35358822179640997</v>
      </c>
      <c r="D92" s="5">
        <f t="shared" si="5"/>
        <v>0.57150465046307541</v>
      </c>
      <c r="E92" s="5">
        <v>0.179081703426272</v>
      </c>
      <c r="F92" s="5">
        <f t="shared" si="6"/>
        <v>0.32400060802819458</v>
      </c>
      <c r="G92" s="5">
        <f t="shared" si="7"/>
        <v>0.67599939197180547</v>
      </c>
      <c r="H92" s="5">
        <f t="shared" si="8"/>
        <v>0.42754054769903871</v>
      </c>
      <c r="I92" s="5">
        <f t="shared" si="9"/>
        <v>0.67599939197180547</v>
      </c>
      <c r="J92" s="5">
        <v>0.66666666666666596</v>
      </c>
    </row>
    <row r="93" spans="1:10" ht="14.4" x14ac:dyDescent="0.25">
      <c r="A93" s="8" t="s">
        <v>175</v>
      </c>
      <c r="B93" s="4" t="s">
        <v>101</v>
      </c>
      <c r="C93" s="4">
        <v>0.38602141772555298</v>
      </c>
      <c r="D93" s="5">
        <f t="shared" si="5"/>
        <v>0.64601114385868608</v>
      </c>
      <c r="E93" s="5">
        <v>0.32430069930069899</v>
      </c>
      <c r="F93" s="5">
        <f t="shared" si="6"/>
        <v>0.58673567286372175</v>
      </c>
      <c r="G93" s="5">
        <f t="shared" si="7"/>
        <v>0.41326432713627825</v>
      </c>
      <c r="H93" s="5">
        <f t="shared" si="8"/>
        <v>0.36878251321848865</v>
      </c>
      <c r="I93" s="5">
        <f t="shared" si="9"/>
        <v>0.41326432713627842</v>
      </c>
      <c r="J93" s="5">
        <v>0.66666666666666596</v>
      </c>
    </row>
    <row r="94" spans="1:10" ht="14.4" x14ac:dyDescent="0.25">
      <c r="A94" s="8" t="s">
        <v>189</v>
      </c>
      <c r="B94" s="4" t="s">
        <v>102</v>
      </c>
      <c r="C94" s="4">
        <v>0.43177202933179598</v>
      </c>
      <c r="D94" s="5">
        <f t="shared" si="5"/>
        <v>0.75111079697127903</v>
      </c>
      <c r="E94" s="5">
        <v>0.29166666666666602</v>
      </c>
      <c r="F94" s="5">
        <f t="shared" si="6"/>
        <v>0.52769308943089377</v>
      </c>
      <c r="G94" s="5">
        <f t="shared" si="7"/>
        <v>0.47230691056910623</v>
      </c>
      <c r="H94" s="5">
        <f t="shared" si="8"/>
        <v>0.38198678861788615</v>
      </c>
      <c r="I94" s="5">
        <f t="shared" si="9"/>
        <v>0.47230691056910634</v>
      </c>
      <c r="J94" s="5">
        <v>0.95121951219512102</v>
      </c>
    </row>
    <row r="95" spans="1:10" ht="14.4" x14ac:dyDescent="0.25">
      <c r="A95" s="8" t="s">
        <v>176</v>
      </c>
      <c r="B95" s="4" t="s">
        <v>103</v>
      </c>
      <c r="C95" s="4">
        <v>0.27635994309538098</v>
      </c>
      <c r="D95" s="5">
        <f t="shared" si="5"/>
        <v>0.39409357294967179</v>
      </c>
      <c r="E95" s="5">
        <v>0.30360934182590199</v>
      </c>
      <c r="F95" s="5">
        <f t="shared" si="6"/>
        <v>0.5493001768052258</v>
      </c>
      <c r="G95" s="5">
        <f t="shared" si="7"/>
        <v>0.4506998231947742</v>
      </c>
      <c r="H95" s="5">
        <f t="shared" si="8"/>
        <v>0.37715458251033807</v>
      </c>
      <c r="I95" s="5">
        <f t="shared" si="9"/>
        <v>0.45069982319477403</v>
      </c>
      <c r="J95" s="5">
        <v>0.66666666666666596</v>
      </c>
    </row>
    <row r="98" spans="3:8" x14ac:dyDescent="0.25">
      <c r="C98" s="4" t="s">
        <v>8</v>
      </c>
      <c r="E98" s="4" t="s">
        <v>8</v>
      </c>
      <c r="H98" s="4" t="s">
        <v>8</v>
      </c>
    </row>
    <row r="99" spans="3:8" x14ac:dyDescent="0.25">
      <c r="C99" s="3">
        <f>MIN(C2:C95)</f>
        <v>0.10480826372664399</v>
      </c>
      <c r="D99" s="3"/>
      <c r="E99" s="3">
        <f>MIN(E2:E95)</f>
        <v>0</v>
      </c>
      <c r="H99" s="3">
        <f>MIN(H2:H95)</f>
        <v>0.27636013480982152</v>
      </c>
    </row>
    <row r="100" spans="3:8" x14ac:dyDescent="0.25">
      <c r="C100" s="4" t="s">
        <v>9</v>
      </c>
      <c r="E100" s="4" t="s">
        <v>9</v>
      </c>
      <c r="H100" s="4" t="s">
        <v>9</v>
      </c>
    </row>
    <row r="101" spans="3:8" x14ac:dyDescent="0.25">
      <c r="C101" s="3">
        <f>MAX(C2:C95)</f>
        <v>0.54011523431417297</v>
      </c>
      <c r="D101" s="3"/>
      <c r="E101" s="3">
        <f>MAX(E2:E95)</f>
        <v>0.55272026961964305</v>
      </c>
      <c r="F101" s="3"/>
      <c r="G101" s="3"/>
      <c r="H101" s="3">
        <f>MAX(H2:H95)</f>
        <v>0.5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2444-D048-4BB2-83C2-6BF3809A4F93}">
  <dimension ref="A1:J101"/>
  <sheetViews>
    <sheetView workbookViewId="0">
      <selection sqref="A1:XFD1"/>
    </sheetView>
  </sheetViews>
  <sheetFormatPr defaultRowHeight="13.8" x14ac:dyDescent="0.25"/>
  <cols>
    <col min="1" max="1" width="36.5546875" style="4" customWidth="1"/>
    <col min="2" max="16384" width="8.88671875" style="4"/>
  </cols>
  <sheetData>
    <row r="1" spans="1:10" x14ac:dyDescent="0.25">
      <c r="C1" s="10" t="s">
        <v>190</v>
      </c>
      <c r="D1" s="10" t="s">
        <v>191</v>
      </c>
      <c r="E1" s="10" t="s">
        <v>192</v>
      </c>
      <c r="F1" s="10" t="s">
        <v>193</v>
      </c>
      <c r="G1" s="10" t="s">
        <v>194</v>
      </c>
      <c r="H1" s="4" t="s">
        <v>195</v>
      </c>
      <c r="I1" s="4" t="s">
        <v>196</v>
      </c>
      <c r="J1" s="10" t="s">
        <v>197</v>
      </c>
    </row>
    <row r="2" spans="1:10" x14ac:dyDescent="0.25">
      <c r="A2" s="8" t="s">
        <v>0</v>
      </c>
      <c r="B2" s="4" t="s">
        <v>7</v>
      </c>
      <c r="C2" s="4">
        <v>0.51019731700252102</v>
      </c>
      <c r="D2" s="5">
        <f>(C2-$C$99)/($C$101-$C$99)</f>
        <v>0.91359153240207913</v>
      </c>
      <c r="E2" s="5">
        <v>0.30858706808073899</v>
      </c>
      <c r="F2" s="5">
        <f>(E2-$E$99)/($E$101-$E$99)</f>
        <v>0.53054156717750456</v>
      </c>
      <c r="G2" s="5">
        <f>1-F2</f>
        <v>0.46945843282249544</v>
      </c>
      <c r="H2" s="5">
        <f>(E2+G2)/2</f>
        <v>0.38902275045161722</v>
      </c>
      <c r="I2" s="5">
        <f>(H2-$H$99)/($H$101-$H$99)</f>
        <v>0.4694584328224955</v>
      </c>
      <c r="J2" s="3">
        <v>0.875</v>
      </c>
    </row>
    <row r="3" spans="1:10" ht="14.4" x14ac:dyDescent="0.25">
      <c r="A3" s="8" t="s">
        <v>177</v>
      </c>
      <c r="B3" s="4" t="s">
        <v>11</v>
      </c>
      <c r="C3" s="4">
        <v>0.37816904188286299</v>
      </c>
      <c r="D3" s="5">
        <f t="shared" ref="D3:D66" si="0">(C3-$C$99)/($C$101-$C$99)</f>
        <v>0.62481682995366961</v>
      </c>
      <c r="E3" s="5">
        <v>0.35719543614280402</v>
      </c>
      <c r="F3" s="5">
        <f t="shared" ref="F3:F66" si="1">(E3-$E$99)/($E$101-$E$99)</f>
        <v>0.61411201596520804</v>
      </c>
      <c r="G3" s="5">
        <f t="shared" ref="G3:G66" si="2">1-F3</f>
        <v>0.38588798403479196</v>
      </c>
      <c r="H3" s="5">
        <f t="shared" ref="H3:H66" si="3">(E3+G3)/2</f>
        <v>0.37154171008879799</v>
      </c>
      <c r="I3" s="5">
        <f t="shared" ref="I3:I66" si="4">(H3-$H$99)/($H$101-$H$99)</f>
        <v>0.38588798403479196</v>
      </c>
      <c r="J3" s="3">
        <v>0.90909090909090895</v>
      </c>
    </row>
    <row r="4" spans="1:10" ht="14.4" x14ac:dyDescent="0.25">
      <c r="A4" s="8" t="s">
        <v>104</v>
      </c>
      <c r="B4" s="4" t="s">
        <v>12</v>
      </c>
      <c r="C4" s="4">
        <v>0.378551209115492</v>
      </c>
      <c r="D4" s="5">
        <f t="shared" si="0"/>
        <v>0.62565271324297222</v>
      </c>
      <c r="E4" s="5">
        <v>0.27308510310717798</v>
      </c>
      <c r="F4" s="5">
        <f t="shared" si="1"/>
        <v>0.46950443995081909</v>
      </c>
      <c r="G4" s="5">
        <f t="shared" si="2"/>
        <v>0.53049556004918097</v>
      </c>
      <c r="H4" s="5">
        <f t="shared" si="3"/>
        <v>0.40179033157817945</v>
      </c>
      <c r="I4" s="5">
        <f t="shared" si="4"/>
        <v>0.53049556004918086</v>
      </c>
      <c r="J4" s="3">
        <v>0.94444444444444398</v>
      </c>
    </row>
    <row r="5" spans="1:10" ht="14.4" x14ac:dyDescent="0.25">
      <c r="A5" s="8" t="s">
        <v>105</v>
      </c>
      <c r="B5" s="4" t="s">
        <v>13</v>
      </c>
      <c r="C5" s="4">
        <v>0.35562123705808901</v>
      </c>
      <c r="D5" s="5">
        <f t="shared" si="0"/>
        <v>0.57549985127438485</v>
      </c>
      <c r="E5" s="5">
        <v>0.259106746911624</v>
      </c>
      <c r="F5" s="5">
        <f t="shared" si="1"/>
        <v>0.44547200382613272</v>
      </c>
      <c r="G5" s="5">
        <f t="shared" si="2"/>
        <v>0.55452799617386728</v>
      </c>
      <c r="H5" s="5">
        <f t="shared" si="3"/>
        <v>0.40681737154274566</v>
      </c>
      <c r="I5" s="5">
        <f t="shared" si="4"/>
        <v>0.5545279961738675</v>
      </c>
      <c r="J5" s="3">
        <v>0.75</v>
      </c>
    </row>
    <row r="6" spans="1:10" ht="14.4" x14ac:dyDescent="0.25">
      <c r="A6" s="8" t="s">
        <v>106</v>
      </c>
      <c r="B6" s="4" t="s">
        <v>14</v>
      </c>
      <c r="C6" s="4">
        <v>0.37140908059357503</v>
      </c>
      <c r="D6" s="5">
        <f t="shared" si="0"/>
        <v>0.61003131671336031</v>
      </c>
      <c r="E6" s="5">
        <v>0.254917387883556</v>
      </c>
      <c r="F6" s="5">
        <f t="shared" si="1"/>
        <v>0.43826940419017235</v>
      </c>
      <c r="G6" s="5">
        <f t="shared" si="2"/>
        <v>0.56173059580982765</v>
      </c>
      <c r="H6" s="5">
        <f t="shared" si="3"/>
        <v>0.40832399184669183</v>
      </c>
      <c r="I6" s="5">
        <f t="shared" si="4"/>
        <v>0.56173059580982765</v>
      </c>
      <c r="J6" s="3">
        <v>0.75</v>
      </c>
    </row>
    <row r="7" spans="1:10" ht="14.4" x14ac:dyDescent="0.25">
      <c r="A7" s="8" t="s">
        <v>107</v>
      </c>
      <c r="B7" s="4" t="s">
        <v>15</v>
      </c>
      <c r="C7" s="4">
        <v>0.42327844736978298</v>
      </c>
      <c r="D7" s="5">
        <f t="shared" si="0"/>
        <v>0.72348096182469512</v>
      </c>
      <c r="E7" s="5">
        <v>0.30327729665477998</v>
      </c>
      <c r="F7" s="5">
        <f t="shared" si="1"/>
        <v>0.5214126867250497</v>
      </c>
      <c r="G7" s="5">
        <f t="shared" si="2"/>
        <v>0.4785873132749503</v>
      </c>
      <c r="H7" s="5">
        <f t="shared" si="3"/>
        <v>0.39093230496486514</v>
      </c>
      <c r="I7" s="5">
        <f t="shared" si="4"/>
        <v>0.4785873132749503</v>
      </c>
      <c r="J7" s="3">
        <v>0.92857142857142805</v>
      </c>
    </row>
    <row r="8" spans="1:10" ht="14.4" x14ac:dyDescent="0.25">
      <c r="A8" s="8" t="s">
        <v>108</v>
      </c>
      <c r="B8" s="4" t="s">
        <v>16</v>
      </c>
      <c r="C8" s="4">
        <v>0.405578401067622</v>
      </c>
      <c r="D8" s="5">
        <f t="shared" si="0"/>
        <v>0.68476709087851195</v>
      </c>
      <c r="E8" s="5">
        <v>0.27761496605747998</v>
      </c>
      <c r="F8" s="5">
        <f t="shared" si="1"/>
        <v>0.47729245454164354</v>
      </c>
      <c r="G8" s="5">
        <f t="shared" si="2"/>
        <v>0.52270754545835652</v>
      </c>
      <c r="H8" s="5">
        <f t="shared" si="3"/>
        <v>0.40016125575791828</v>
      </c>
      <c r="I8" s="5">
        <f t="shared" si="4"/>
        <v>0.52270754545835674</v>
      </c>
      <c r="J8" s="3">
        <v>0.66666666666666596</v>
      </c>
    </row>
    <row r="9" spans="1:10" ht="14.4" x14ac:dyDescent="0.25">
      <c r="A9" s="8" t="s">
        <v>109</v>
      </c>
      <c r="B9" s="4" t="s">
        <v>17</v>
      </c>
      <c r="C9" s="4">
        <v>0.34238021567912602</v>
      </c>
      <c r="D9" s="5">
        <f t="shared" si="0"/>
        <v>0.54653884269226372</v>
      </c>
      <c r="E9" s="5">
        <v>0.30808361475655099</v>
      </c>
      <c r="F9" s="5">
        <f t="shared" si="1"/>
        <v>0.52967599974696811</v>
      </c>
      <c r="G9" s="5">
        <f t="shared" si="2"/>
        <v>0.47032400025303189</v>
      </c>
      <c r="H9" s="5">
        <f t="shared" si="3"/>
        <v>0.38920380750479144</v>
      </c>
      <c r="I9" s="5">
        <f t="shared" si="4"/>
        <v>0.47032400025303195</v>
      </c>
      <c r="J9" s="3">
        <v>0.88888888888888795</v>
      </c>
    </row>
    <row r="10" spans="1:10" ht="14.4" x14ac:dyDescent="0.25">
      <c r="A10" s="8" t="s">
        <v>110</v>
      </c>
      <c r="B10" s="4" t="s">
        <v>18</v>
      </c>
      <c r="C10" s="4">
        <v>0.245552577997766</v>
      </c>
      <c r="D10" s="5">
        <f t="shared" si="0"/>
        <v>0.33475563008211939</v>
      </c>
      <c r="E10" s="5">
        <v>0.53529411764705803</v>
      </c>
      <c r="F10" s="5">
        <f t="shared" si="1"/>
        <v>0.92031005007333877</v>
      </c>
      <c r="G10" s="5">
        <f t="shared" si="2"/>
        <v>7.968994992666123E-2</v>
      </c>
      <c r="H10" s="5">
        <f t="shared" si="3"/>
        <v>0.30749203378685963</v>
      </c>
      <c r="I10" s="5">
        <f t="shared" si="4"/>
        <v>7.9689949926661188E-2</v>
      </c>
      <c r="J10" s="3">
        <v>0.66666666666666596</v>
      </c>
    </row>
    <row r="11" spans="1:10" ht="14.4" x14ac:dyDescent="0.25">
      <c r="A11" s="8" t="s">
        <v>178</v>
      </c>
      <c r="B11" s="4" t="s">
        <v>19</v>
      </c>
      <c r="C11" s="4">
        <v>0.47190792937766102</v>
      </c>
      <c r="D11" s="5">
        <f t="shared" si="0"/>
        <v>0.82984427062592003</v>
      </c>
      <c r="E11" s="5">
        <v>0.29376904135887399</v>
      </c>
      <c r="F11" s="5">
        <f t="shared" si="1"/>
        <v>0.50506551865612104</v>
      </c>
      <c r="G11" s="5">
        <f t="shared" si="2"/>
        <v>0.49493448134387896</v>
      </c>
      <c r="H11" s="5">
        <f t="shared" si="3"/>
        <v>0.39435176135137651</v>
      </c>
      <c r="I11" s="5">
        <f t="shared" si="4"/>
        <v>0.49493448134387913</v>
      </c>
      <c r="J11" s="3">
        <v>0.907407407407407</v>
      </c>
    </row>
    <row r="12" spans="1:10" ht="14.4" x14ac:dyDescent="0.25">
      <c r="A12" s="8" t="s">
        <v>179</v>
      </c>
      <c r="B12" s="4" t="s">
        <v>20</v>
      </c>
      <c r="C12" s="4">
        <v>0.42198086463667001</v>
      </c>
      <c r="D12" s="5">
        <f t="shared" si="0"/>
        <v>0.72064286470256511</v>
      </c>
      <c r="E12" s="5">
        <v>0.35754907356448301</v>
      </c>
      <c r="F12" s="5">
        <f t="shared" si="1"/>
        <v>0.61472001082732941</v>
      </c>
      <c r="G12" s="5">
        <f t="shared" si="2"/>
        <v>0.38527998917267059</v>
      </c>
      <c r="H12" s="5">
        <f t="shared" si="3"/>
        <v>0.37141453136857683</v>
      </c>
      <c r="I12" s="5">
        <f t="shared" si="4"/>
        <v>0.38527998917267064</v>
      </c>
      <c r="J12" s="3">
        <v>0.91666666666666596</v>
      </c>
    </row>
    <row r="13" spans="1:10" ht="14.4" x14ac:dyDescent="0.25">
      <c r="A13" s="8" t="s">
        <v>111</v>
      </c>
      <c r="B13" s="4" t="s">
        <v>21</v>
      </c>
      <c r="C13" s="4">
        <v>0.26192658133285701</v>
      </c>
      <c r="D13" s="5">
        <f t="shared" si="0"/>
        <v>0.37056915515237276</v>
      </c>
      <c r="E13" s="5">
        <v>0.39577862075673498</v>
      </c>
      <c r="F13" s="5">
        <f t="shared" si="1"/>
        <v>0.68044656251340663</v>
      </c>
      <c r="G13" s="5">
        <f t="shared" si="2"/>
        <v>0.31955343748659337</v>
      </c>
      <c r="H13" s="5">
        <f t="shared" si="3"/>
        <v>0.35766602912166418</v>
      </c>
      <c r="I13" s="5">
        <f t="shared" si="4"/>
        <v>0.31955343748659337</v>
      </c>
      <c r="J13" s="3">
        <v>0.66666666666666596</v>
      </c>
    </row>
    <row r="14" spans="1:10" ht="14.4" x14ac:dyDescent="0.25">
      <c r="A14" s="8" t="s">
        <v>112</v>
      </c>
      <c r="B14" s="4" t="s">
        <v>22</v>
      </c>
      <c r="C14" s="4">
        <v>0.377478217011745</v>
      </c>
      <c r="D14" s="5">
        <f t="shared" si="0"/>
        <v>0.62330584492852814</v>
      </c>
      <c r="E14" s="5">
        <v>0.26765083440308002</v>
      </c>
      <c r="F14" s="5">
        <f t="shared" si="1"/>
        <v>0.46016151624158103</v>
      </c>
      <c r="G14" s="5">
        <f t="shared" si="2"/>
        <v>0.53983848375841892</v>
      </c>
      <c r="H14" s="5">
        <f t="shared" si="3"/>
        <v>0.40374465908074947</v>
      </c>
      <c r="I14" s="5">
        <f t="shared" si="4"/>
        <v>0.53983848375841881</v>
      </c>
      <c r="J14" s="3">
        <v>0.66666666666666596</v>
      </c>
    </row>
    <row r="15" spans="1:10" ht="14.4" x14ac:dyDescent="0.25">
      <c r="A15" s="8" t="s">
        <v>113</v>
      </c>
      <c r="B15" s="4" t="s">
        <v>23</v>
      </c>
      <c r="C15" s="4">
        <v>0.40107191451637197</v>
      </c>
      <c r="D15" s="5">
        <f t="shared" si="0"/>
        <v>0.6749104195575728</v>
      </c>
      <c r="E15" s="5">
        <v>0.28543177323665098</v>
      </c>
      <c r="F15" s="5">
        <f t="shared" si="1"/>
        <v>0.49073158261967659</v>
      </c>
      <c r="G15" s="5">
        <f t="shared" si="2"/>
        <v>0.50926841738032347</v>
      </c>
      <c r="H15" s="5">
        <f t="shared" si="3"/>
        <v>0.39735009530848719</v>
      </c>
      <c r="I15" s="5">
        <f t="shared" si="4"/>
        <v>0.50926841738032336</v>
      </c>
      <c r="J15" s="3">
        <v>0.8</v>
      </c>
    </row>
    <row r="16" spans="1:10" ht="14.4" x14ac:dyDescent="0.25">
      <c r="A16" s="8" t="s">
        <v>114</v>
      </c>
      <c r="B16" s="4" t="s">
        <v>24</v>
      </c>
      <c r="C16" s="4">
        <v>0.35718375562918198</v>
      </c>
      <c r="D16" s="5">
        <f t="shared" si="0"/>
        <v>0.57891742099593535</v>
      </c>
      <c r="E16" s="5">
        <v>0.27955919546845598</v>
      </c>
      <c r="F16" s="5">
        <f t="shared" si="1"/>
        <v>0.4806350914352347</v>
      </c>
      <c r="G16" s="5">
        <f t="shared" si="2"/>
        <v>0.51936490856476536</v>
      </c>
      <c r="H16" s="5">
        <f t="shared" si="3"/>
        <v>0.39946205201661067</v>
      </c>
      <c r="I16" s="5">
        <f t="shared" si="4"/>
        <v>0.51936490856476547</v>
      </c>
      <c r="J16" s="3">
        <v>0.95798319327731096</v>
      </c>
    </row>
    <row r="17" spans="1:10" ht="14.4" x14ac:dyDescent="0.25">
      <c r="A17" s="8" t="s">
        <v>115</v>
      </c>
      <c r="B17" s="4" t="s">
        <v>25</v>
      </c>
      <c r="C17" s="4">
        <v>0.37303450596395998</v>
      </c>
      <c r="D17" s="5">
        <f t="shared" si="0"/>
        <v>0.61358647735799954</v>
      </c>
      <c r="E17" s="5">
        <v>0.30769230769230699</v>
      </c>
      <c r="F17" s="5">
        <f t="shared" si="1"/>
        <v>0.52900324095508866</v>
      </c>
      <c r="G17" s="5">
        <f t="shared" si="2"/>
        <v>0.47099675904491134</v>
      </c>
      <c r="H17" s="5">
        <f t="shared" si="3"/>
        <v>0.38934453336860919</v>
      </c>
      <c r="I17" s="5">
        <f t="shared" si="4"/>
        <v>0.47099675904491139</v>
      </c>
      <c r="J17" s="3">
        <v>0.8</v>
      </c>
    </row>
    <row r="18" spans="1:10" ht="14.4" x14ac:dyDescent="0.25">
      <c r="A18" s="8" t="s">
        <v>116</v>
      </c>
      <c r="B18" s="4" t="s">
        <v>26</v>
      </c>
      <c r="C18" s="4">
        <v>0.37066437960801002</v>
      </c>
      <c r="D18" s="5">
        <f t="shared" si="0"/>
        <v>0.60840249284722503</v>
      </c>
      <c r="E18" s="5">
        <v>0.31216658062295599</v>
      </c>
      <c r="F18" s="5">
        <f t="shared" si="1"/>
        <v>0.53669568181908922</v>
      </c>
      <c r="G18" s="5">
        <f t="shared" si="2"/>
        <v>0.46330431818091078</v>
      </c>
      <c r="H18" s="5">
        <f t="shared" si="3"/>
        <v>0.38773544940193339</v>
      </c>
      <c r="I18" s="5">
        <f t="shared" si="4"/>
        <v>0.46330431818091078</v>
      </c>
      <c r="J18" s="3">
        <v>0.88888888888888795</v>
      </c>
    </row>
    <row r="19" spans="1:10" ht="14.4" x14ac:dyDescent="0.25">
      <c r="A19" s="8" t="s">
        <v>117</v>
      </c>
      <c r="B19" s="4" t="s">
        <v>27</v>
      </c>
      <c r="C19" s="4">
        <v>0.45522856481857199</v>
      </c>
      <c r="D19" s="5">
        <f t="shared" si="0"/>
        <v>0.79336285379900029</v>
      </c>
      <c r="E19" s="5">
        <v>0.34333694173511498</v>
      </c>
      <c r="F19" s="5">
        <f t="shared" si="1"/>
        <v>0.59028565348182516</v>
      </c>
      <c r="G19" s="5">
        <f t="shared" si="2"/>
        <v>0.40971434651817484</v>
      </c>
      <c r="H19" s="5">
        <f t="shared" si="3"/>
        <v>0.37652564412664491</v>
      </c>
      <c r="I19" s="5">
        <f t="shared" si="4"/>
        <v>0.40971434651817484</v>
      </c>
      <c r="J19" s="3">
        <v>0.66666666666666596</v>
      </c>
    </row>
    <row r="20" spans="1:10" ht="14.4" x14ac:dyDescent="0.25">
      <c r="A20" s="8" t="s">
        <v>118</v>
      </c>
      <c r="B20" s="4" t="s">
        <v>28</v>
      </c>
      <c r="C20" s="4">
        <v>0.37223409489422898</v>
      </c>
      <c r="D20" s="5">
        <f t="shared" si="0"/>
        <v>0.61183580335814236</v>
      </c>
      <c r="E20" s="5">
        <v>0.23339658444022701</v>
      </c>
      <c r="F20" s="5">
        <f t="shared" si="1"/>
        <v>0.40126953618936723</v>
      </c>
      <c r="G20" s="5">
        <f t="shared" si="2"/>
        <v>0.59873046381063277</v>
      </c>
      <c r="H20" s="5">
        <f t="shared" si="3"/>
        <v>0.41606352412542991</v>
      </c>
      <c r="I20" s="5">
        <f t="shared" si="4"/>
        <v>0.59873046381063288</v>
      </c>
      <c r="J20" s="3">
        <v>0.66666666666666596</v>
      </c>
    </row>
    <row r="21" spans="1:10" ht="14.4" x14ac:dyDescent="0.25">
      <c r="A21" s="8" t="s">
        <v>119</v>
      </c>
      <c r="B21" s="4" t="s">
        <v>29</v>
      </c>
      <c r="C21" s="4">
        <v>0.38965598262483297</v>
      </c>
      <c r="D21" s="5">
        <f t="shared" si="0"/>
        <v>0.64994128069574397</v>
      </c>
      <c r="E21" s="5">
        <v>0.30693912303107701</v>
      </c>
      <c r="F21" s="5">
        <f t="shared" si="1"/>
        <v>0.5277083202928966</v>
      </c>
      <c r="G21" s="5">
        <f t="shared" si="2"/>
        <v>0.4722916797071034</v>
      </c>
      <c r="H21" s="5">
        <f t="shared" si="3"/>
        <v>0.38961540136909023</v>
      </c>
      <c r="I21" s="5">
        <f t="shared" si="4"/>
        <v>0.47229167970710351</v>
      </c>
      <c r="J21" s="3">
        <v>0.91096774193548302</v>
      </c>
    </row>
    <row r="22" spans="1:10" ht="14.4" x14ac:dyDescent="0.25">
      <c r="A22" s="8" t="s">
        <v>120</v>
      </c>
      <c r="B22" s="4" t="s">
        <v>30</v>
      </c>
      <c r="C22" s="4">
        <v>0.37424379004004998</v>
      </c>
      <c r="D22" s="5">
        <f t="shared" si="0"/>
        <v>0.61623144601287294</v>
      </c>
      <c r="E22" s="5">
        <v>0.29843669294455899</v>
      </c>
      <c r="F22" s="5">
        <f t="shared" si="1"/>
        <v>0.51309042780966974</v>
      </c>
      <c r="G22" s="5">
        <f t="shared" si="2"/>
        <v>0.48690957219033026</v>
      </c>
      <c r="H22" s="5">
        <f t="shared" si="3"/>
        <v>0.39267313256744463</v>
      </c>
      <c r="I22" s="5">
        <f t="shared" si="4"/>
        <v>0.48690957219033032</v>
      </c>
      <c r="J22" s="3">
        <v>0.95744680851063801</v>
      </c>
    </row>
    <row r="23" spans="1:10" ht="14.4" x14ac:dyDescent="0.25">
      <c r="A23" s="8" t="s">
        <v>121</v>
      </c>
      <c r="B23" s="4" t="s">
        <v>31</v>
      </c>
      <c r="C23" s="4">
        <v>0.372506321206661</v>
      </c>
      <c r="D23" s="5">
        <f t="shared" si="0"/>
        <v>0.61243122181907383</v>
      </c>
      <c r="E23" s="5">
        <v>0.36711459499813298</v>
      </c>
      <c r="F23" s="5">
        <f t="shared" si="1"/>
        <v>0.63116563430676453</v>
      </c>
      <c r="G23" s="5">
        <f t="shared" si="2"/>
        <v>0.36883436569323547</v>
      </c>
      <c r="H23" s="5">
        <f t="shared" si="3"/>
        <v>0.36797448034568425</v>
      </c>
      <c r="I23" s="5">
        <f t="shared" si="4"/>
        <v>0.36883436569323563</v>
      </c>
      <c r="J23" s="3">
        <v>0.9</v>
      </c>
    </row>
    <row r="24" spans="1:10" ht="14.4" x14ac:dyDescent="0.25">
      <c r="A24" s="8" t="s">
        <v>122</v>
      </c>
      <c r="B24" s="4" t="s">
        <v>32</v>
      </c>
      <c r="C24" s="4">
        <v>0.30215525054276998</v>
      </c>
      <c r="D24" s="5">
        <f t="shared" si="0"/>
        <v>0.45855804973165537</v>
      </c>
      <c r="E24" s="5">
        <v>0.29166666666666602</v>
      </c>
      <c r="F24" s="5">
        <f t="shared" si="1"/>
        <v>0.50145098882201111</v>
      </c>
      <c r="G24" s="5">
        <f t="shared" si="2"/>
        <v>0.49854901117798889</v>
      </c>
      <c r="H24" s="5">
        <f t="shared" si="3"/>
        <v>0.39510783892232748</v>
      </c>
      <c r="I24" s="5">
        <f t="shared" si="4"/>
        <v>0.49854901117798905</v>
      </c>
      <c r="J24" s="3">
        <v>0.66666666666666596</v>
      </c>
    </row>
    <row r="25" spans="1:10" ht="14.4" x14ac:dyDescent="0.25">
      <c r="A25" s="8" t="s">
        <v>123</v>
      </c>
      <c r="B25" s="4" t="s">
        <v>33</v>
      </c>
      <c r="C25" s="4">
        <v>0.35991330244744302</v>
      </c>
      <c r="D25" s="5">
        <f t="shared" si="0"/>
        <v>0.58488753663630078</v>
      </c>
      <c r="E25" s="5">
        <v>0.302486970128576</v>
      </c>
      <c r="F25" s="5">
        <f t="shared" si="1"/>
        <v>0.52005390952028197</v>
      </c>
      <c r="G25" s="5">
        <f t="shared" si="2"/>
        <v>0.47994609047971803</v>
      </c>
      <c r="H25" s="5">
        <f t="shared" si="3"/>
        <v>0.39121653030414705</v>
      </c>
      <c r="I25" s="5">
        <f t="shared" si="4"/>
        <v>0.4799460904797182</v>
      </c>
      <c r="J25" s="3">
        <v>0.97142857142857097</v>
      </c>
    </row>
    <row r="26" spans="1:10" ht="14.4" x14ac:dyDescent="0.25">
      <c r="A26" s="8" t="s">
        <v>124</v>
      </c>
      <c r="B26" s="4" t="s">
        <v>34</v>
      </c>
      <c r="C26" s="4">
        <v>0.36901097323875798</v>
      </c>
      <c r="D26" s="5">
        <f t="shared" si="0"/>
        <v>0.60478613164070061</v>
      </c>
      <c r="E26" s="5">
        <v>0.334816462736373</v>
      </c>
      <c r="F26" s="5">
        <f t="shared" si="1"/>
        <v>0.57563673021614625</v>
      </c>
      <c r="G26" s="5">
        <f t="shared" si="2"/>
        <v>0.42436326978385375</v>
      </c>
      <c r="H26" s="5">
        <f t="shared" si="3"/>
        <v>0.37958986626011337</v>
      </c>
      <c r="I26" s="5">
        <f t="shared" si="4"/>
        <v>0.42436326978385375</v>
      </c>
      <c r="J26" s="3">
        <v>0.8</v>
      </c>
    </row>
    <row r="27" spans="1:10" ht="14.4" x14ac:dyDescent="0.25">
      <c r="A27" s="8" t="s">
        <v>1</v>
      </c>
      <c r="B27" s="4" t="s">
        <v>35</v>
      </c>
      <c r="C27" s="4">
        <v>0.17456275048902301</v>
      </c>
      <c r="D27" s="5">
        <f t="shared" si="0"/>
        <v>0.17948535712640717</v>
      </c>
      <c r="E27" s="5">
        <v>0.14942528735632099</v>
      </c>
      <c r="F27" s="5">
        <f t="shared" si="1"/>
        <v>0.25690099919945308</v>
      </c>
      <c r="G27" s="5">
        <f t="shared" si="2"/>
        <v>0.74309900080054692</v>
      </c>
      <c r="H27" s="5">
        <f t="shared" si="3"/>
        <v>0.44626214407843395</v>
      </c>
      <c r="I27" s="5">
        <f t="shared" si="4"/>
        <v>0.74309900080054692</v>
      </c>
      <c r="J27" s="3">
        <v>0.82142857142857095</v>
      </c>
    </row>
    <row r="28" spans="1:10" ht="14.4" x14ac:dyDescent="0.25">
      <c r="A28" s="8" t="s">
        <v>125</v>
      </c>
      <c r="B28" s="4" t="s">
        <v>36</v>
      </c>
      <c r="C28" s="4">
        <v>0.37854219432943997</v>
      </c>
      <c r="D28" s="5">
        <f t="shared" si="0"/>
        <v>0.62563299593501343</v>
      </c>
      <c r="E28" s="5">
        <v>0.208999926948644</v>
      </c>
      <c r="F28" s="5">
        <f t="shared" si="1"/>
        <v>0.3593253258244315</v>
      </c>
      <c r="G28" s="5">
        <f t="shared" si="2"/>
        <v>0.64067467417556845</v>
      </c>
      <c r="H28" s="5">
        <f t="shared" si="3"/>
        <v>0.42483730056210622</v>
      </c>
      <c r="I28" s="5">
        <f t="shared" si="4"/>
        <v>0.64067467417556834</v>
      </c>
      <c r="J28" s="3">
        <v>0.75</v>
      </c>
    </row>
    <row r="29" spans="1:10" ht="14.4" x14ac:dyDescent="0.25">
      <c r="A29" s="8" t="s">
        <v>126</v>
      </c>
      <c r="B29" s="4" t="s">
        <v>37</v>
      </c>
      <c r="C29" s="4">
        <v>0.33794290396177901</v>
      </c>
      <c r="D29" s="5">
        <f t="shared" si="0"/>
        <v>0.53683347185646058</v>
      </c>
      <c r="E29" s="5">
        <v>0.256004409796046</v>
      </c>
      <c r="F29" s="5">
        <f t="shared" si="1"/>
        <v>0.44013827806293565</v>
      </c>
      <c r="G29" s="5">
        <f t="shared" si="2"/>
        <v>0.55986172193706429</v>
      </c>
      <c r="H29" s="5">
        <f t="shared" si="3"/>
        <v>0.40793306586655514</v>
      </c>
      <c r="I29" s="5">
        <f t="shared" si="4"/>
        <v>0.55986172193706418</v>
      </c>
      <c r="J29" s="3">
        <v>0.8</v>
      </c>
    </row>
    <row r="30" spans="1:10" ht="14.4" x14ac:dyDescent="0.25">
      <c r="A30" s="8" t="s">
        <v>180</v>
      </c>
      <c r="B30" s="4" t="s">
        <v>38</v>
      </c>
      <c r="C30" s="4">
        <v>0.35575942093487001</v>
      </c>
      <c r="D30" s="5">
        <f t="shared" si="0"/>
        <v>0.57580208962343871</v>
      </c>
      <c r="E30" s="5">
        <v>0.30769230769230699</v>
      </c>
      <c r="F30" s="5">
        <f t="shared" si="1"/>
        <v>0.52900324095508866</v>
      </c>
      <c r="G30" s="5">
        <f t="shared" si="2"/>
        <v>0.47099675904491134</v>
      </c>
      <c r="H30" s="5">
        <f t="shared" si="3"/>
        <v>0.38934453336860919</v>
      </c>
      <c r="I30" s="5">
        <f t="shared" si="4"/>
        <v>0.47099675904491139</v>
      </c>
      <c r="J30" s="3">
        <v>0.96</v>
      </c>
    </row>
    <row r="31" spans="1:10" ht="14.4" x14ac:dyDescent="0.25">
      <c r="A31" s="8" t="s">
        <v>127</v>
      </c>
      <c r="B31" s="4" t="s">
        <v>39</v>
      </c>
      <c r="C31" s="4">
        <v>0.36225392191841499</v>
      </c>
      <c r="D31" s="5">
        <f t="shared" si="0"/>
        <v>0.59000698313866773</v>
      </c>
      <c r="E31" s="5">
        <v>0.29755605946082098</v>
      </c>
      <c r="F31" s="5">
        <f t="shared" si="1"/>
        <v>0.51157638941694905</v>
      </c>
      <c r="G31" s="5">
        <f t="shared" si="2"/>
        <v>0.48842361058305095</v>
      </c>
      <c r="H31" s="5">
        <f t="shared" si="3"/>
        <v>0.39298983502193596</v>
      </c>
      <c r="I31" s="5">
        <f t="shared" si="4"/>
        <v>0.488423610583051</v>
      </c>
      <c r="J31" s="3">
        <v>0.98360655737704905</v>
      </c>
    </row>
    <row r="32" spans="1:10" ht="14.4" x14ac:dyDescent="0.25">
      <c r="A32" s="8" t="s">
        <v>128</v>
      </c>
      <c r="B32" s="4" t="s">
        <v>40</v>
      </c>
      <c r="C32" s="4">
        <v>0.34054961159007202</v>
      </c>
      <c r="D32" s="5">
        <f t="shared" si="0"/>
        <v>0.54253491133257348</v>
      </c>
      <c r="E32" s="5">
        <v>0.31984074872005902</v>
      </c>
      <c r="F32" s="5">
        <f t="shared" si="1"/>
        <v>0.54988957615284462</v>
      </c>
      <c r="G32" s="5">
        <f t="shared" si="2"/>
        <v>0.45011042384715538</v>
      </c>
      <c r="H32" s="5">
        <f t="shared" si="3"/>
        <v>0.38497558628360717</v>
      </c>
      <c r="I32" s="5">
        <f t="shared" si="4"/>
        <v>0.45011042384715522</v>
      </c>
      <c r="J32" s="3">
        <v>0.66666666666666596</v>
      </c>
    </row>
    <row r="33" spans="1:10" ht="14.4" x14ac:dyDescent="0.25">
      <c r="A33" s="8" t="s">
        <v>129</v>
      </c>
      <c r="B33" s="4" t="s">
        <v>41</v>
      </c>
      <c r="C33" s="4">
        <v>0.34112130864155599</v>
      </c>
      <c r="D33" s="5">
        <f t="shared" si="0"/>
        <v>0.54378533777178351</v>
      </c>
      <c r="E33" s="5">
        <v>0.24106662568201001</v>
      </c>
      <c r="F33" s="5">
        <f t="shared" si="1"/>
        <v>0.41445633538364507</v>
      </c>
      <c r="G33" s="5">
        <f t="shared" si="2"/>
        <v>0.58554366461635499</v>
      </c>
      <c r="H33" s="5">
        <f t="shared" si="3"/>
        <v>0.41330514514918248</v>
      </c>
      <c r="I33" s="5">
        <f t="shared" si="4"/>
        <v>0.58554366461635499</v>
      </c>
      <c r="J33" s="3">
        <v>0.8</v>
      </c>
    </row>
    <row r="34" spans="1:10" ht="14.4" x14ac:dyDescent="0.25">
      <c r="A34" s="8" t="s">
        <v>130</v>
      </c>
      <c r="B34" s="4" t="s">
        <v>42</v>
      </c>
      <c r="C34" s="4">
        <v>0.30512226330215297</v>
      </c>
      <c r="D34" s="5">
        <f t="shared" si="0"/>
        <v>0.46504755530138986</v>
      </c>
      <c r="E34" s="5">
        <v>0.248832866479925</v>
      </c>
      <c r="F34" s="5">
        <f t="shared" si="1"/>
        <v>0.42780852667808272</v>
      </c>
      <c r="G34" s="5">
        <f t="shared" si="2"/>
        <v>0.57219147332191733</v>
      </c>
      <c r="H34" s="5">
        <f t="shared" si="3"/>
        <v>0.41051216990092115</v>
      </c>
      <c r="I34" s="5">
        <f t="shared" si="4"/>
        <v>0.57219147332191733</v>
      </c>
      <c r="J34" s="3">
        <v>0.66666666666666596</v>
      </c>
    </row>
    <row r="35" spans="1:10" ht="14.4" x14ac:dyDescent="0.25">
      <c r="A35" s="8" t="s">
        <v>131</v>
      </c>
      <c r="B35" s="4" t="s">
        <v>43</v>
      </c>
      <c r="C35" s="4">
        <v>0.43132253083529498</v>
      </c>
      <c r="D35" s="5">
        <f t="shared" si="0"/>
        <v>0.74107513100639588</v>
      </c>
      <c r="E35" s="5">
        <v>0.32337526205450701</v>
      </c>
      <c r="F35" s="5">
        <f t="shared" si="1"/>
        <v>0.55596632543249103</v>
      </c>
      <c r="G35" s="5">
        <f t="shared" si="2"/>
        <v>0.44403367456750897</v>
      </c>
      <c r="H35" s="5">
        <f t="shared" si="3"/>
        <v>0.38370446831100802</v>
      </c>
      <c r="I35" s="5">
        <f t="shared" si="4"/>
        <v>0.44403367456750903</v>
      </c>
      <c r="J35" s="3">
        <v>0.72727272727272696</v>
      </c>
    </row>
    <row r="36" spans="1:10" ht="14.4" x14ac:dyDescent="0.25">
      <c r="A36" s="8" t="s">
        <v>132</v>
      </c>
      <c r="B36" s="4" t="s">
        <v>44</v>
      </c>
      <c r="C36" s="4">
        <v>0.54970341236322695</v>
      </c>
      <c r="D36" s="5">
        <f t="shared" si="0"/>
        <v>1</v>
      </c>
      <c r="E36" s="5">
        <v>3.4759358288769998E-2</v>
      </c>
      <c r="F36" s="5">
        <f t="shared" si="1"/>
        <v>5.9760392861905105E-2</v>
      </c>
      <c r="G36" s="5">
        <f t="shared" si="2"/>
        <v>0.94023960713809485</v>
      </c>
      <c r="H36" s="5">
        <f t="shared" si="3"/>
        <v>0.48749948271343241</v>
      </c>
      <c r="I36" s="5">
        <f t="shared" si="4"/>
        <v>0.94023960713809474</v>
      </c>
      <c r="J36" s="3">
        <v>0.96141078838174199</v>
      </c>
    </row>
    <row r="37" spans="1:10" ht="14.4" x14ac:dyDescent="0.25">
      <c r="A37" s="8" t="s">
        <v>2</v>
      </c>
      <c r="B37" s="4" t="s">
        <v>45</v>
      </c>
      <c r="C37" s="4">
        <v>0.34145599261505399</v>
      </c>
      <c r="D37" s="5">
        <f t="shared" si="0"/>
        <v>0.54451736479231028</v>
      </c>
      <c r="E37" s="5">
        <v>0.29919433078837399</v>
      </c>
      <c r="F37" s="5">
        <f t="shared" si="1"/>
        <v>0.51439300465292692</v>
      </c>
      <c r="G37" s="5">
        <f t="shared" si="2"/>
        <v>0.48560699534707308</v>
      </c>
      <c r="H37" s="5">
        <f t="shared" si="3"/>
        <v>0.39240066306772353</v>
      </c>
      <c r="I37" s="5">
        <f t="shared" si="4"/>
        <v>0.48560699534707308</v>
      </c>
      <c r="J37" s="3">
        <v>0.66666666666666596</v>
      </c>
    </row>
    <row r="38" spans="1:10" ht="14.4" x14ac:dyDescent="0.25">
      <c r="A38" s="8" t="s">
        <v>133</v>
      </c>
      <c r="B38" s="4" t="s">
        <v>46</v>
      </c>
      <c r="C38" s="4">
        <v>0.37781128852652901</v>
      </c>
      <c r="D38" s="5">
        <f t="shared" si="0"/>
        <v>0.62403434514932266</v>
      </c>
      <c r="E38" s="5">
        <v>0.23106060606060599</v>
      </c>
      <c r="F38" s="5">
        <f t="shared" si="1"/>
        <v>0.39725338075510047</v>
      </c>
      <c r="G38" s="5">
        <f t="shared" si="2"/>
        <v>0.60274661924489958</v>
      </c>
      <c r="H38" s="5">
        <f t="shared" si="3"/>
        <v>0.41690361265275278</v>
      </c>
      <c r="I38" s="5">
        <f t="shared" si="4"/>
        <v>0.60274661924489958</v>
      </c>
      <c r="J38" s="3">
        <v>0.83333333333333304</v>
      </c>
    </row>
    <row r="39" spans="1:10" ht="14.4" x14ac:dyDescent="0.25">
      <c r="A39" s="8" t="s">
        <v>134</v>
      </c>
      <c r="B39" s="4" t="s">
        <v>47</v>
      </c>
      <c r="C39" s="4">
        <v>0.35097925914072398</v>
      </c>
      <c r="D39" s="5">
        <f t="shared" si="0"/>
        <v>0.56534683071387015</v>
      </c>
      <c r="E39" s="5">
        <v>0</v>
      </c>
      <c r="F39" s="5">
        <f t="shared" si="1"/>
        <v>0</v>
      </c>
      <c r="G39" s="5">
        <f t="shared" si="2"/>
        <v>1</v>
      </c>
      <c r="H39" s="5">
        <f t="shared" si="3"/>
        <v>0.5</v>
      </c>
      <c r="I39" s="5">
        <f t="shared" si="4"/>
        <v>1</v>
      </c>
      <c r="J39" s="3">
        <v>0.66666666666666596</v>
      </c>
    </row>
    <row r="40" spans="1:10" ht="14.4" x14ac:dyDescent="0.25">
      <c r="A40" s="8" t="s">
        <v>135</v>
      </c>
      <c r="B40" s="4" t="s">
        <v>48</v>
      </c>
      <c r="C40" s="4">
        <v>0.40152503322055599</v>
      </c>
      <c r="D40" s="5">
        <f t="shared" si="0"/>
        <v>0.67590148922697479</v>
      </c>
      <c r="E40" s="5">
        <v>0.35944700460829399</v>
      </c>
      <c r="F40" s="5">
        <f t="shared" si="1"/>
        <v>0.61798304876550658</v>
      </c>
      <c r="G40" s="5">
        <f t="shared" si="2"/>
        <v>0.38201695123449342</v>
      </c>
      <c r="H40" s="5">
        <f t="shared" si="3"/>
        <v>0.37073197792139367</v>
      </c>
      <c r="I40" s="5">
        <f t="shared" si="4"/>
        <v>0.38201695123449325</v>
      </c>
      <c r="J40" s="3">
        <v>0.77876106194690198</v>
      </c>
    </row>
    <row r="41" spans="1:10" ht="14.4" x14ac:dyDescent="0.25">
      <c r="A41" s="8" t="s">
        <v>181</v>
      </c>
      <c r="B41" s="4" t="s">
        <v>49</v>
      </c>
      <c r="C41" s="4">
        <v>0.19112384172218899</v>
      </c>
      <c r="D41" s="5">
        <f t="shared" si="0"/>
        <v>0.21570808433195562</v>
      </c>
      <c r="E41" s="5">
        <v>0.58164541135283798</v>
      </c>
      <c r="F41" s="5">
        <f t="shared" si="1"/>
        <v>1</v>
      </c>
      <c r="G41" s="5">
        <f t="shared" si="2"/>
        <v>0</v>
      </c>
      <c r="H41" s="5">
        <f t="shared" si="3"/>
        <v>0.29082270567641899</v>
      </c>
      <c r="I41" s="5">
        <f t="shared" si="4"/>
        <v>0</v>
      </c>
      <c r="J41" s="3">
        <v>0.66666666666666596</v>
      </c>
    </row>
    <row r="42" spans="1:10" ht="14.4" x14ac:dyDescent="0.25">
      <c r="A42" s="8" t="s">
        <v>182</v>
      </c>
      <c r="B42" s="4" t="s">
        <v>50</v>
      </c>
      <c r="C42" s="4">
        <v>0.30979466496034103</v>
      </c>
      <c r="D42" s="5">
        <f t="shared" si="0"/>
        <v>0.47526711923449327</v>
      </c>
      <c r="E42" s="5">
        <v>0.31060270945782498</v>
      </c>
      <c r="F42" s="5">
        <f t="shared" si="1"/>
        <v>0.53400697984601997</v>
      </c>
      <c r="G42" s="5">
        <f t="shared" si="2"/>
        <v>0.46599302015398003</v>
      </c>
      <c r="H42" s="5">
        <f t="shared" si="3"/>
        <v>0.3882978648059025</v>
      </c>
      <c r="I42" s="5">
        <f t="shared" si="4"/>
        <v>0.46599302015398009</v>
      </c>
      <c r="J42" s="3">
        <v>0.85714285714285698</v>
      </c>
    </row>
    <row r="43" spans="1:10" ht="14.4" x14ac:dyDescent="0.25">
      <c r="A43" s="8" t="s">
        <v>3</v>
      </c>
      <c r="B43" s="4" t="s">
        <v>51</v>
      </c>
      <c r="C43" s="4">
        <v>0.42133724467794997</v>
      </c>
      <c r="D43" s="5">
        <f t="shared" si="0"/>
        <v>0.71923512714104054</v>
      </c>
      <c r="E43" s="5">
        <v>0.31784289925437798</v>
      </c>
      <c r="F43" s="5">
        <f t="shared" si="1"/>
        <v>0.54645475241541619</v>
      </c>
      <c r="G43" s="5">
        <f t="shared" si="2"/>
        <v>0.45354524758458381</v>
      </c>
      <c r="H43" s="5">
        <f t="shared" si="3"/>
        <v>0.38569407341948092</v>
      </c>
      <c r="I43" s="5">
        <f t="shared" si="4"/>
        <v>0.45354524758458392</v>
      </c>
      <c r="J43" s="3">
        <v>0.98360655737704905</v>
      </c>
    </row>
    <row r="44" spans="1:10" ht="14.4" x14ac:dyDescent="0.25">
      <c r="A44" s="8" t="s">
        <v>136</v>
      </c>
      <c r="B44" s="4" t="s">
        <v>52</v>
      </c>
      <c r="C44" s="4">
        <v>0.35800587712451298</v>
      </c>
      <c r="D44" s="5">
        <f t="shared" si="0"/>
        <v>0.58071558044303473</v>
      </c>
      <c r="E44" s="5">
        <v>0.30655925816381302</v>
      </c>
      <c r="F44" s="5">
        <f t="shared" si="1"/>
        <v>0.52705523361869677</v>
      </c>
      <c r="G44" s="5">
        <f t="shared" si="2"/>
        <v>0.47294476638130323</v>
      </c>
      <c r="H44" s="5">
        <f t="shared" si="3"/>
        <v>0.38975201227255812</v>
      </c>
      <c r="I44" s="5">
        <f t="shared" si="4"/>
        <v>0.47294476638130328</v>
      </c>
      <c r="J44" s="3">
        <v>0.78947368421052599</v>
      </c>
    </row>
    <row r="45" spans="1:10" ht="14.4" x14ac:dyDescent="0.25">
      <c r="A45" s="8" t="s">
        <v>137</v>
      </c>
      <c r="B45" s="4" t="s">
        <v>53</v>
      </c>
      <c r="C45" s="4">
        <v>0.356449795385265</v>
      </c>
      <c r="D45" s="5">
        <f t="shared" si="0"/>
        <v>0.57731208947998547</v>
      </c>
      <c r="E45" s="5">
        <v>0.28489326765188799</v>
      </c>
      <c r="F45" s="5">
        <f t="shared" si="1"/>
        <v>0.48980575122093745</v>
      </c>
      <c r="G45" s="5">
        <f t="shared" si="2"/>
        <v>0.5101942487790625</v>
      </c>
      <c r="H45" s="5">
        <f t="shared" si="3"/>
        <v>0.39754375821547527</v>
      </c>
      <c r="I45" s="5">
        <f t="shared" si="4"/>
        <v>0.51019424877906261</v>
      </c>
      <c r="J45" s="3">
        <v>0.94814814814814796</v>
      </c>
    </row>
    <row r="46" spans="1:10" ht="14.4" x14ac:dyDescent="0.25">
      <c r="A46" s="8" t="s">
        <v>183</v>
      </c>
      <c r="B46" s="4" t="s">
        <v>54</v>
      </c>
      <c r="C46" s="4">
        <v>0.377219036968995</v>
      </c>
      <c r="D46" s="5">
        <f t="shared" si="0"/>
        <v>0.62273896151163988</v>
      </c>
      <c r="E46" s="5">
        <v>0.25056614784721998</v>
      </c>
      <c r="F46" s="5">
        <f t="shared" si="1"/>
        <v>0.43078848892563759</v>
      </c>
      <c r="G46" s="5">
        <f t="shared" si="2"/>
        <v>0.56921151107436241</v>
      </c>
      <c r="H46" s="5">
        <f t="shared" si="3"/>
        <v>0.40988882946079119</v>
      </c>
      <c r="I46" s="5">
        <f t="shared" si="4"/>
        <v>0.56921151107436241</v>
      </c>
      <c r="J46" s="3">
        <v>0.90909090909090895</v>
      </c>
    </row>
    <row r="47" spans="1:10" ht="14.4" x14ac:dyDescent="0.25">
      <c r="A47" s="8" t="s">
        <v>138</v>
      </c>
      <c r="B47" s="4" t="s">
        <v>55</v>
      </c>
      <c r="C47" s="4">
        <v>0.37867997433975298</v>
      </c>
      <c r="D47" s="5">
        <f t="shared" si="0"/>
        <v>0.62593435093980621</v>
      </c>
      <c r="E47" s="5">
        <v>0.28173628173628101</v>
      </c>
      <c r="F47" s="5">
        <f t="shared" si="1"/>
        <v>0.48437806993266908</v>
      </c>
      <c r="G47" s="5">
        <f t="shared" si="2"/>
        <v>0.51562193006733092</v>
      </c>
      <c r="H47" s="5">
        <f t="shared" si="3"/>
        <v>0.398679105901806</v>
      </c>
      <c r="I47" s="5">
        <f t="shared" si="4"/>
        <v>0.51562193006733104</v>
      </c>
      <c r="J47" s="3">
        <v>0.92086330935251803</v>
      </c>
    </row>
    <row r="48" spans="1:10" ht="14.4" x14ac:dyDescent="0.25">
      <c r="A48" s="8" t="s">
        <v>139</v>
      </c>
      <c r="B48" s="4" t="s">
        <v>56</v>
      </c>
      <c r="C48" s="4">
        <v>0.315526965573382</v>
      </c>
      <c r="D48" s="5">
        <f t="shared" si="0"/>
        <v>0.48780491390291181</v>
      </c>
      <c r="E48" s="5">
        <v>0.250142591949159</v>
      </c>
      <c r="F48" s="5">
        <f t="shared" si="1"/>
        <v>0.43006028598653795</v>
      </c>
      <c r="G48" s="5">
        <f t="shared" si="2"/>
        <v>0.56993971401346211</v>
      </c>
      <c r="H48" s="5">
        <f t="shared" si="3"/>
        <v>0.41004115298131055</v>
      </c>
      <c r="I48" s="5">
        <f t="shared" si="4"/>
        <v>0.56993971401346211</v>
      </c>
      <c r="J48" s="3">
        <v>0.875</v>
      </c>
    </row>
    <row r="49" spans="1:10" ht="14.4" x14ac:dyDescent="0.25">
      <c r="A49" s="8" t="s">
        <v>140</v>
      </c>
      <c r="B49" s="4" t="s">
        <v>57</v>
      </c>
      <c r="C49" s="4">
        <v>0.34330413066291399</v>
      </c>
      <c r="D49" s="5">
        <f t="shared" si="0"/>
        <v>0.54855964675328162</v>
      </c>
      <c r="E49" s="5">
        <v>0.32922535211267601</v>
      </c>
      <c r="F49" s="5">
        <f t="shared" si="1"/>
        <v>0.56602415438460529</v>
      </c>
      <c r="G49" s="5">
        <f t="shared" si="2"/>
        <v>0.43397584561539471</v>
      </c>
      <c r="H49" s="5">
        <f t="shared" si="3"/>
        <v>0.38160059886403536</v>
      </c>
      <c r="I49" s="5">
        <f t="shared" si="4"/>
        <v>0.43397584561539465</v>
      </c>
      <c r="J49" s="3">
        <v>0.66666666666666596</v>
      </c>
    </row>
    <row r="50" spans="1:10" ht="14.4" x14ac:dyDescent="0.25">
      <c r="A50" s="8" t="s">
        <v>141</v>
      </c>
      <c r="B50" s="4" t="s">
        <v>58</v>
      </c>
      <c r="C50" s="4">
        <v>0.30117989815534102</v>
      </c>
      <c r="D50" s="5">
        <f t="shared" si="0"/>
        <v>0.45642474082334106</v>
      </c>
      <c r="E50" s="5">
        <v>0.26030437539632201</v>
      </c>
      <c r="F50" s="5">
        <f t="shared" si="1"/>
        <v>0.44753103921319526</v>
      </c>
      <c r="G50" s="5">
        <f t="shared" si="2"/>
        <v>0.55246896078680474</v>
      </c>
      <c r="H50" s="5">
        <f t="shared" si="3"/>
        <v>0.40638666809156337</v>
      </c>
      <c r="I50" s="5">
        <f t="shared" si="4"/>
        <v>0.55246896078680474</v>
      </c>
      <c r="J50" s="3">
        <v>0.66666666666666596</v>
      </c>
    </row>
    <row r="51" spans="1:10" ht="14.4" x14ac:dyDescent="0.25">
      <c r="A51" s="8" t="s">
        <v>142</v>
      </c>
      <c r="B51" s="4" t="s">
        <v>59</v>
      </c>
      <c r="C51" s="4">
        <v>0.40312117343249199</v>
      </c>
      <c r="D51" s="5">
        <f t="shared" si="0"/>
        <v>0.67939259682760067</v>
      </c>
      <c r="E51" s="5">
        <v>0.29002820640451299</v>
      </c>
      <c r="F51" s="5">
        <f t="shared" si="1"/>
        <v>0.49863404875823214</v>
      </c>
      <c r="G51" s="5">
        <f t="shared" si="2"/>
        <v>0.50136595124176786</v>
      </c>
      <c r="H51" s="5">
        <f t="shared" si="3"/>
        <v>0.39569707882314042</v>
      </c>
      <c r="I51" s="5">
        <f t="shared" si="4"/>
        <v>0.50136595124176786</v>
      </c>
      <c r="J51" s="3">
        <v>0.8</v>
      </c>
    </row>
    <row r="52" spans="1:10" ht="14.4" x14ac:dyDescent="0.25">
      <c r="A52" s="8" t="s">
        <v>143</v>
      </c>
      <c r="B52" s="4" t="s">
        <v>60</v>
      </c>
      <c r="C52" s="4">
        <v>0.36697803749091901</v>
      </c>
      <c r="D52" s="5">
        <f t="shared" si="0"/>
        <v>0.60033965670836609</v>
      </c>
      <c r="E52" s="5">
        <v>0.31465517241379298</v>
      </c>
      <c r="F52" s="5">
        <f t="shared" si="1"/>
        <v>0.540974219468082</v>
      </c>
      <c r="G52" s="5">
        <f t="shared" si="2"/>
        <v>0.459025780531918</v>
      </c>
      <c r="H52" s="5">
        <f t="shared" si="3"/>
        <v>0.38684047647285547</v>
      </c>
      <c r="I52" s="5">
        <f t="shared" si="4"/>
        <v>0.45902578053191784</v>
      </c>
      <c r="J52" s="3">
        <v>0.90909090909090895</v>
      </c>
    </row>
    <row r="53" spans="1:10" ht="14.4" x14ac:dyDescent="0.25">
      <c r="A53" s="8" t="s">
        <v>144</v>
      </c>
      <c r="B53" s="4" t="s">
        <v>61</v>
      </c>
      <c r="C53" s="4">
        <v>0.31073112181795298</v>
      </c>
      <c r="D53" s="5">
        <f t="shared" si="0"/>
        <v>0.47731535511553908</v>
      </c>
      <c r="E53" s="5">
        <v>0.276665937007257</v>
      </c>
      <c r="F53" s="5">
        <f t="shared" si="1"/>
        <v>0.47566082635082596</v>
      </c>
      <c r="G53" s="5">
        <f t="shared" si="2"/>
        <v>0.52433917364917404</v>
      </c>
      <c r="H53" s="5">
        <f t="shared" si="3"/>
        <v>0.40050255532821555</v>
      </c>
      <c r="I53" s="5">
        <f t="shared" si="4"/>
        <v>0.52433917364917415</v>
      </c>
      <c r="J53" s="3">
        <v>0.75</v>
      </c>
    </row>
    <row r="54" spans="1:10" ht="14.4" x14ac:dyDescent="0.25">
      <c r="A54" s="8" t="s">
        <v>145</v>
      </c>
      <c r="B54" s="4" t="s">
        <v>62</v>
      </c>
      <c r="C54" s="4">
        <v>0.30645279537013598</v>
      </c>
      <c r="D54" s="5">
        <f t="shared" si="0"/>
        <v>0.46795771982244899</v>
      </c>
      <c r="E54" s="5">
        <v>0.219512195121951</v>
      </c>
      <c r="F54" s="5">
        <f t="shared" si="1"/>
        <v>0.37739865360820396</v>
      </c>
      <c r="G54" s="5">
        <f t="shared" si="2"/>
        <v>0.6226013463917961</v>
      </c>
      <c r="H54" s="5">
        <f t="shared" si="3"/>
        <v>0.42105677075687353</v>
      </c>
      <c r="I54" s="5">
        <f t="shared" si="4"/>
        <v>0.6226013463917961</v>
      </c>
      <c r="J54" s="3">
        <v>8.7882950134368407E-2</v>
      </c>
    </row>
    <row r="55" spans="1:10" ht="14.4" x14ac:dyDescent="0.25">
      <c r="A55" s="8" t="s">
        <v>146</v>
      </c>
      <c r="B55" s="4" t="s">
        <v>63</v>
      </c>
      <c r="C55" s="4">
        <v>0.40271128515090299</v>
      </c>
      <c r="D55" s="5">
        <f t="shared" si="0"/>
        <v>0.67849608154369134</v>
      </c>
      <c r="E55" s="5">
        <v>0.30171033785491602</v>
      </c>
      <c r="F55" s="5">
        <f t="shared" si="1"/>
        <v>0.51871867630344348</v>
      </c>
      <c r="G55" s="5">
        <f t="shared" si="2"/>
        <v>0.48128132369655652</v>
      </c>
      <c r="H55" s="5">
        <f t="shared" si="3"/>
        <v>0.39149583077573624</v>
      </c>
      <c r="I55" s="5">
        <f t="shared" si="4"/>
        <v>0.48128132369655646</v>
      </c>
      <c r="J55" s="3">
        <v>0.88652482269503496</v>
      </c>
    </row>
    <row r="56" spans="1:10" ht="14.4" x14ac:dyDescent="0.25">
      <c r="A56" s="8" t="s">
        <v>147</v>
      </c>
      <c r="B56" s="4" t="s">
        <v>64</v>
      </c>
      <c r="C56" s="4">
        <v>0.37851097223320102</v>
      </c>
      <c r="D56" s="5">
        <f t="shared" si="0"/>
        <v>0.62556470638458905</v>
      </c>
      <c r="E56" s="5">
        <v>0.30905679686167398</v>
      </c>
      <c r="F56" s="5">
        <f t="shared" si="1"/>
        <v>0.53134915333182919</v>
      </c>
      <c r="G56" s="5">
        <f t="shared" si="2"/>
        <v>0.46865084666817081</v>
      </c>
      <c r="H56" s="5">
        <f t="shared" si="3"/>
        <v>0.38885382176492239</v>
      </c>
      <c r="I56" s="5">
        <f t="shared" si="4"/>
        <v>0.46865084666817081</v>
      </c>
      <c r="J56" s="3">
        <v>0.93333333333333302</v>
      </c>
    </row>
    <row r="57" spans="1:10" ht="14.4" x14ac:dyDescent="0.25">
      <c r="A57" s="8" t="s">
        <v>148</v>
      </c>
      <c r="B57" s="4" t="s">
        <v>65</v>
      </c>
      <c r="C57" s="4">
        <v>0.38693923429856902</v>
      </c>
      <c r="D57" s="5">
        <f t="shared" si="0"/>
        <v>0.64399915815545428</v>
      </c>
      <c r="E57" s="5">
        <v>0.33379489628382603</v>
      </c>
      <c r="F57" s="5">
        <f t="shared" si="1"/>
        <v>0.57388039133233915</v>
      </c>
      <c r="G57" s="5">
        <f t="shared" si="2"/>
        <v>0.42611960866766085</v>
      </c>
      <c r="H57" s="5">
        <f t="shared" si="3"/>
        <v>0.37995725247574341</v>
      </c>
      <c r="I57" s="5">
        <f t="shared" si="4"/>
        <v>0.42611960866766069</v>
      </c>
      <c r="J57" s="3">
        <v>0.9375</v>
      </c>
    </row>
    <row r="58" spans="1:10" ht="14.4" x14ac:dyDescent="0.25">
      <c r="A58" s="8" t="s">
        <v>149</v>
      </c>
      <c r="B58" s="4" t="s">
        <v>66</v>
      </c>
      <c r="C58" s="4">
        <v>0.33808174503737598</v>
      </c>
      <c r="D58" s="5">
        <f t="shared" si="0"/>
        <v>0.53713714764300546</v>
      </c>
      <c r="E58" s="5">
        <v>0.335470085470085</v>
      </c>
      <c r="F58" s="5">
        <f t="shared" si="1"/>
        <v>0.5767604779857568</v>
      </c>
      <c r="G58" s="5">
        <f t="shared" si="2"/>
        <v>0.4232395220142432</v>
      </c>
      <c r="H58" s="5">
        <f t="shared" si="3"/>
        <v>0.37935480374216413</v>
      </c>
      <c r="I58" s="5">
        <f t="shared" si="4"/>
        <v>0.42323952201424342</v>
      </c>
      <c r="J58" s="3">
        <v>0.66666666666666596</v>
      </c>
    </row>
    <row r="59" spans="1:10" ht="14.4" x14ac:dyDescent="0.25">
      <c r="A59" s="8" t="s">
        <v>150</v>
      </c>
      <c r="B59" s="4" t="s">
        <v>67</v>
      </c>
      <c r="C59" s="4">
        <v>0.36633034680055299</v>
      </c>
      <c r="D59" s="5">
        <f t="shared" si="0"/>
        <v>0.59892301556676564</v>
      </c>
      <c r="E59" s="5">
        <v>0.243564549436495</v>
      </c>
      <c r="F59" s="5">
        <f t="shared" si="1"/>
        <v>0.41875091710943418</v>
      </c>
      <c r="G59" s="5">
        <f t="shared" si="2"/>
        <v>0.58124908289056587</v>
      </c>
      <c r="H59" s="5">
        <f t="shared" si="3"/>
        <v>0.41240681616353042</v>
      </c>
      <c r="I59" s="5">
        <f t="shared" si="4"/>
        <v>0.58124908289056587</v>
      </c>
      <c r="J59" s="3">
        <v>0.92964824120602996</v>
      </c>
    </row>
    <row r="60" spans="1:10" ht="14.4" x14ac:dyDescent="0.25">
      <c r="A60" s="8" t="s">
        <v>151</v>
      </c>
      <c r="B60" s="4" t="s">
        <v>68</v>
      </c>
      <c r="C60" s="4">
        <v>0.29455742076881503</v>
      </c>
      <c r="D60" s="5">
        <f t="shared" si="0"/>
        <v>0.4419399349358738</v>
      </c>
      <c r="E60" s="5">
        <v>0.26030437539632201</v>
      </c>
      <c r="F60" s="5">
        <f t="shared" si="1"/>
        <v>0.44753103921319526</v>
      </c>
      <c r="G60" s="5">
        <f t="shared" si="2"/>
        <v>0.55246896078680474</v>
      </c>
      <c r="H60" s="5">
        <f t="shared" si="3"/>
        <v>0.40638666809156337</v>
      </c>
      <c r="I60" s="5">
        <f t="shared" si="4"/>
        <v>0.55246896078680474</v>
      </c>
      <c r="J60" s="3">
        <v>0.85714285714285698</v>
      </c>
    </row>
    <row r="61" spans="1:10" ht="14.4" x14ac:dyDescent="0.25">
      <c r="A61" s="8" t="s">
        <v>152</v>
      </c>
      <c r="B61" s="4" t="s">
        <v>69</v>
      </c>
      <c r="C61" s="4">
        <v>0.35672081204246597</v>
      </c>
      <c r="D61" s="5">
        <f t="shared" si="0"/>
        <v>0.57790486216046499</v>
      </c>
      <c r="E61" s="5">
        <v>0.27950731242867299</v>
      </c>
      <c r="F61" s="5">
        <f t="shared" si="1"/>
        <v>0.48054589097259837</v>
      </c>
      <c r="G61" s="5">
        <f t="shared" si="2"/>
        <v>0.51945410902740163</v>
      </c>
      <c r="H61" s="5">
        <f t="shared" si="3"/>
        <v>0.39948071072803731</v>
      </c>
      <c r="I61" s="5">
        <f t="shared" si="4"/>
        <v>0.51945410902740163</v>
      </c>
      <c r="J61" s="3">
        <v>0.90865384615384603</v>
      </c>
    </row>
    <row r="62" spans="1:10" ht="14.4" x14ac:dyDescent="0.25">
      <c r="A62" s="8" t="s">
        <v>4</v>
      </c>
      <c r="B62" s="4" t="s">
        <v>70</v>
      </c>
      <c r="C62" s="4">
        <v>0.378729623085231</v>
      </c>
      <c r="D62" s="5">
        <f t="shared" si="0"/>
        <v>0.62604294360065382</v>
      </c>
      <c r="E62" s="5">
        <v>0.21165531883739599</v>
      </c>
      <c r="F62" s="5">
        <f t="shared" si="1"/>
        <v>0.3638906362986874</v>
      </c>
      <c r="G62" s="5">
        <f t="shared" si="2"/>
        <v>0.63610936370131266</v>
      </c>
      <c r="H62" s="5">
        <f t="shared" si="3"/>
        <v>0.42388234126935431</v>
      </c>
      <c r="I62" s="5">
        <f t="shared" si="4"/>
        <v>0.63610936370131266</v>
      </c>
      <c r="J62" s="3">
        <v>0.66666666666666596</v>
      </c>
    </row>
    <row r="63" spans="1:10" ht="14.4" x14ac:dyDescent="0.25">
      <c r="A63" s="8" t="s">
        <v>153</v>
      </c>
      <c r="B63" s="4" t="s">
        <v>71</v>
      </c>
      <c r="C63" s="4">
        <v>0.319672738202122</v>
      </c>
      <c r="D63" s="5">
        <f t="shared" si="0"/>
        <v>0.49687262501402135</v>
      </c>
      <c r="E63" s="5">
        <v>0.21987393400074101</v>
      </c>
      <c r="F63" s="5">
        <f t="shared" si="1"/>
        <v>0.37802057698579694</v>
      </c>
      <c r="G63" s="5">
        <f t="shared" si="2"/>
        <v>0.62197942301420306</v>
      </c>
      <c r="H63" s="5">
        <f t="shared" si="3"/>
        <v>0.42092667850747201</v>
      </c>
      <c r="I63" s="5">
        <f t="shared" si="4"/>
        <v>0.62197942301420295</v>
      </c>
      <c r="J63" s="3">
        <v>0.75</v>
      </c>
    </row>
    <row r="64" spans="1:10" ht="14.4" x14ac:dyDescent="0.25">
      <c r="A64" s="8" t="s">
        <v>154</v>
      </c>
      <c r="B64" s="4" t="s">
        <v>72</v>
      </c>
      <c r="C64" s="4">
        <v>0.272706703394898</v>
      </c>
      <c r="D64" s="5">
        <f t="shared" si="0"/>
        <v>0.39414763891277987</v>
      </c>
      <c r="E64" s="5">
        <v>0.38888888888888801</v>
      </c>
      <c r="F64" s="5">
        <f t="shared" si="1"/>
        <v>0.66860131842934811</v>
      </c>
      <c r="G64" s="5">
        <f t="shared" si="2"/>
        <v>0.33139868157065189</v>
      </c>
      <c r="H64" s="5">
        <f t="shared" si="3"/>
        <v>0.36014378522976997</v>
      </c>
      <c r="I64" s="5">
        <f t="shared" si="4"/>
        <v>0.33139868157065205</v>
      </c>
      <c r="J64" s="3">
        <v>0.66666666666666596</v>
      </c>
    </row>
    <row r="65" spans="1:10" ht="14.4" x14ac:dyDescent="0.25">
      <c r="A65" s="8" t="s">
        <v>184</v>
      </c>
      <c r="B65" s="4" t="s">
        <v>73</v>
      </c>
      <c r="C65" s="4">
        <v>0.265977186928816</v>
      </c>
      <c r="D65" s="5">
        <f t="shared" si="0"/>
        <v>0.37942871515684001</v>
      </c>
      <c r="E65" s="5">
        <v>0.21906032310656501</v>
      </c>
      <c r="F65" s="5">
        <f t="shared" si="1"/>
        <v>0.37662176788613666</v>
      </c>
      <c r="G65" s="5">
        <f t="shared" si="2"/>
        <v>0.62337823211386334</v>
      </c>
      <c r="H65" s="5">
        <f t="shared" si="3"/>
        <v>0.42121927761021416</v>
      </c>
      <c r="I65" s="5">
        <f t="shared" si="4"/>
        <v>0.62337823211386323</v>
      </c>
      <c r="J65" s="3">
        <v>0.66666666666666596</v>
      </c>
    </row>
    <row r="66" spans="1:10" ht="14.4" x14ac:dyDescent="0.25">
      <c r="A66" s="8" t="s">
        <v>108</v>
      </c>
      <c r="B66" s="4" t="s">
        <v>74</v>
      </c>
      <c r="C66" s="4">
        <v>0.23719082356931401</v>
      </c>
      <c r="D66" s="5">
        <f t="shared" si="0"/>
        <v>0.31646664505346195</v>
      </c>
      <c r="E66" s="5">
        <v>0.50588768115941996</v>
      </c>
      <c r="F66" s="5">
        <f t="shared" si="1"/>
        <v>0.869752724400912</v>
      </c>
      <c r="G66" s="5">
        <f t="shared" si="2"/>
        <v>0.130247275599088</v>
      </c>
      <c r="H66" s="5">
        <f t="shared" si="3"/>
        <v>0.31806747837925398</v>
      </c>
      <c r="I66" s="5">
        <f t="shared" si="4"/>
        <v>0.13024727559908791</v>
      </c>
      <c r="J66" s="3">
        <v>0.66666666666666596</v>
      </c>
    </row>
    <row r="67" spans="1:10" ht="14.4" x14ac:dyDescent="0.25">
      <c r="A67" s="8" t="s">
        <v>155</v>
      </c>
      <c r="B67" s="4" t="s">
        <v>75</v>
      </c>
      <c r="C67" s="4">
        <v>0.395658639711088</v>
      </c>
      <c r="D67" s="5">
        <f t="shared" ref="D67:D95" si="5">(C67-$C$99)/($C$101-$C$99)</f>
        <v>0.66307040407792961</v>
      </c>
      <c r="E67" s="5">
        <v>0.29755605946082098</v>
      </c>
      <c r="F67" s="5">
        <f t="shared" ref="F67:F95" si="6">(E67-$E$99)/($E$101-$E$99)</f>
        <v>0.51157638941694905</v>
      </c>
      <c r="G67" s="5">
        <f t="shared" ref="G67:G95" si="7">1-F67</f>
        <v>0.48842361058305095</v>
      </c>
      <c r="H67" s="5">
        <f t="shared" ref="H67:H95" si="8">(E67+G67)/2</f>
        <v>0.39298983502193596</v>
      </c>
      <c r="I67" s="5">
        <f t="shared" ref="I67:I95" si="9">(H67-$H$99)/($H$101-$H$99)</f>
        <v>0.488423610583051</v>
      </c>
      <c r="J67" s="3">
        <v>0.66666666666666596</v>
      </c>
    </row>
    <row r="68" spans="1:10" ht="14.4" x14ac:dyDescent="0.25">
      <c r="A68" s="8" t="s">
        <v>185</v>
      </c>
      <c r="B68" s="4" t="s">
        <v>76</v>
      </c>
      <c r="C68" s="4">
        <v>9.2501746149943401E-2</v>
      </c>
      <c r="D68" s="5">
        <f t="shared" si="5"/>
        <v>0</v>
      </c>
      <c r="E68" s="5">
        <v>8.1081081081081002E-2</v>
      </c>
      <c r="F68" s="5">
        <f t="shared" si="6"/>
        <v>0.13939950268411139</v>
      </c>
      <c r="G68" s="5">
        <f t="shared" si="7"/>
        <v>0.86060049731588861</v>
      </c>
      <c r="H68" s="5">
        <f t="shared" si="8"/>
        <v>0.47084078919848482</v>
      </c>
      <c r="I68" s="5">
        <f t="shared" si="9"/>
        <v>0.86060049731588861</v>
      </c>
      <c r="J68" s="3">
        <v>7.0728010560797902E-2</v>
      </c>
    </row>
    <row r="69" spans="1:10" ht="14.4" x14ac:dyDescent="0.25">
      <c r="A69" s="8" t="s">
        <v>5</v>
      </c>
      <c r="B69" s="4" t="s">
        <v>77</v>
      </c>
      <c r="C69" s="4">
        <v>0.206550246986165</v>
      </c>
      <c r="D69" s="5">
        <f t="shared" si="5"/>
        <v>0.24944900525147742</v>
      </c>
      <c r="E69" s="5">
        <v>0.129943502824858</v>
      </c>
      <c r="F69" s="5">
        <f t="shared" si="6"/>
        <v>0.22340673594007196</v>
      </c>
      <c r="G69" s="5">
        <f t="shared" si="7"/>
        <v>0.77659326405992801</v>
      </c>
      <c r="H69" s="5">
        <f t="shared" si="8"/>
        <v>0.45326838344239301</v>
      </c>
      <c r="I69" s="5">
        <f t="shared" si="9"/>
        <v>0.77659326405992801</v>
      </c>
      <c r="J69" s="3">
        <v>0.18547595682041201</v>
      </c>
    </row>
    <row r="70" spans="1:10" ht="14.4" x14ac:dyDescent="0.25">
      <c r="A70" s="8" t="s">
        <v>156</v>
      </c>
      <c r="B70" s="4" t="s">
        <v>78</v>
      </c>
      <c r="C70" s="4">
        <v>0.34338500045488302</v>
      </c>
      <c r="D70" s="5">
        <f t="shared" si="5"/>
        <v>0.54873652666852524</v>
      </c>
      <c r="E70" s="5">
        <v>0.30420054200542002</v>
      </c>
      <c r="F70" s="5">
        <f t="shared" si="6"/>
        <v>0.52299998601877695</v>
      </c>
      <c r="G70" s="5">
        <f t="shared" si="7"/>
        <v>0.47700001398122305</v>
      </c>
      <c r="H70" s="5">
        <f t="shared" si="8"/>
        <v>0.39060027799332153</v>
      </c>
      <c r="I70" s="5">
        <f t="shared" si="9"/>
        <v>0.47700001398122299</v>
      </c>
      <c r="J70" s="3">
        <v>0.66666666666666596</v>
      </c>
    </row>
    <row r="71" spans="1:10" ht="14.4" x14ac:dyDescent="0.25">
      <c r="A71" s="8" t="s">
        <v>157</v>
      </c>
      <c r="B71" s="4" t="s">
        <v>79</v>
      </c>
      <c r="C71" s="4">
        <v>9.2501746149943401E-2</v>
      </c>
      <c r="D71" s="5">
        <f t="shared" si="5"/>
        <v>0</v>
      </c>
      <c r="E71" s="5">
        <v>0.273885350318471</v>
      </c>
      <c r="F71" s="5">
        <f t="shared" si="6"/>
        <v>0.47088027339792171</v>
      </c>
      <c r="G71" s="5">
        <f t="shared" si="7"/>
        <v>0.52911972660207829</v>
      </c>
      <c r="H71" s="5">
        <f t="shared" si="8"/>
        <v>0.40150253846027462</v>
      </c>
      <c r="I71" s="5">
        <f t="shared" si="9"/>
        <v>0.52911972660207818</v>
      </c>
      <c r="J71" s="3">
        <v>0.90265035677879701</v>
      </c>
    </row>
    <row r="72" spans="1:10" ht="14.4" x14ac:dyDescent="0.25">
      <c r="A72" s="8" t="s">
        <v>158</v>
      </c>
      <c r="B72" s="4" t="s">
        <v>80</v>
      </c>
      <c r="C72" s="4">
        <v>0.33326013091607798</v>
      </c>
      <c r="D72" s="5">
        <f t="shared" si="5"/>
        <v>0.5265912234314154</v>
      </c>
      <c r="E72" s="5">
        <v>0.27272727272727199</v>
      </c>
      <c r="F72" s="5">
        <f t="shared" si="6"/>
        <v>0.46888923630110108</v>
      </c>
      <c r="G72" s="5">
        <f t="shared" si="7"/>
        <v>0.53111076369889898</v>
      </c>
      <c r="H72" s="5">
        <f t="shared" si="8"/>
        <v>0.40191901821308551</v>
      </c>
      <c r="I72" s="5">
        <f t="shared" si="9"/>
        <v>0.5311107636988992</v>
      </c>
      <c r="J72" s="3">
        <v>0.66666666666666596</v>
      </c>
    </row>
    <row r="73" spans="1:10" ht="14.4" x14ac:dyDescent="0.25">
      <c r="A73" s="8" t="s">
        <v>159</v>
      </c>
      <c r="B73" s="4" t="s">
        <v>81</v>
      </c>
      <c r="C73" s="4">
        <v>0.13699279656632099</v>
      </c>
      <c r="D73" s="5">
        <f t="shared" si="5"/>
        <v>9.7311654143496962E-2</v>
      </c>
      <c r="E73" s="5">
        <v>2.5641025641025599E-2</v>
      </c>
      <c r="F73" s="5">
        <f t="shared" si="6"/>
        <v>4.4083603412924076E-2</v>
      </c>
      <c r="G73" s="5">
        <f t="shared" si="7"/>
        <v>0.95591639658707594</v>
      </c>
      <c r="H73" s="5">
        <f t="shared" si="8"/>
        <v>0.49077871111405075</v>
      </c>
      <c r="I73" s="5">
        <f t="shared" si="9"/>
        <v>0.95591639658707583</v>
      </c>
      <c r="J73" s="3">
        <v>5.2631578947368397E-2</v>
      </c>
    </row>
    <row r="74" spans="1:10" ht="14.4" x14ac:dyDescent="0.25">
      <c r="A74" s="8" t="s">
        <v>160</v>
      </c>
      <c r="B74" s="4" t="s">
        <v>82</v>
      </c>
      <c r="C74" s="4">
        <v>0.37389686006026801</v>
      </c>
      <c r="D74" s="5">
        <f t="shared" si="5"/>
        <v>0.61547263429931254</v>
      </c>
      <c r="E74" s="5">
        <v>0.24757092887679699</v>
      </c>
      <c r="F74" s="5">
        <f t="shared" si="6"/>
        <v>0.42563892716178486</v>
      </c>
      <c r="G74" s="5">
        <f t="shared" si="7"/>
        <v>0.57436107283821514</v>
      </c>
      <c r="H74" s="5">
        <f t="shared" si="8"/>
        <v>0.41096600085750606</v>
      </c>
      <c r="I74" s="5">
        <f t="shared" si="9"/>
        <v>0.57436107283821514</v>
      </c>
      <c r="J74" s="3">
        <v>0.8</v>
      </c>
    </row>
    <row r="75" spans="1:10" ht="14.4" x14ac:dyDescent="0.25">
      <c r="A75" s="8" t="s">
        <v>186</v>
      </c>
      <c r="B75" s="4" t="s">
        <v>83</v>
      </c>
      <c r="C75" s="4">
        <v>0.31690895711415801</v>
      </c>
      <c r="D75" s="5">
        <f t="shared" si="5"/>
        <v>0.49082763154132764</v>
      </c>
      <c r="E75" s="5">
        <v>0.273550578151532</v>
      </c>
      <c r="F75" s="5">
        <f t="shared" si="6"/>
        <v>0.47030471282372177</v>
      </c>
      <c r="G75" s="5">
        <f t="shared" si="7"/>
        <v>0.52969528717627823</v>
      </c>
      <c r="H75" s="5">
        <f t="shared" si="8"/>
        <v>0.40162293266390514</v>
      </c>
      <c r="I75" s="5">
        <f t="shared" si="9"/>
        <v>0.52969528717627834</v>
      </c>
      <c r="J75" s="3">
        <v>0.8</v>
      </c>
    </row>
    <row r="76" spans="1:10" ht="14.4" x14ac:dyDescent="0.25">
      <c r="A76" s="8" t="s">
        <v>161</v>
      </c>
      <c r="B76" s="4" t="s">
        <v>84</v>
      </c>
      <c r="C76" s="4">
        <v>0.35715420893111499</v>
      </c>
      <c r="D76" s="5">
        <f t="shared" si="5"/>
        <v>0.57885279590759808</v>
      </c>
      <c r="E76" s="5">
        <v>0.21856652265425899</v>
      </c>
      <c r="F76" s="5">
        <f t="shared" si="6"/>
        <v>0.37577279625725796</v>
      </c>
      <c r="G76" s="5">
        <f t="shared" si="7"/>
        <v>0.6242272037427421</v>
      </c>
      <c r="H76" s="5">
        <f t="shared" si="8"/>
        <v>0.42139686319850056</v>
      </c>
      <c r="I76" s="5">
        <f t="shared" si="9"/>
        <v>0.62422720374274232</v>
      </c>
      <c r="J76" s="3">
        <v>0.8</v>
      </c>
    </row>
    <row r="77" spans="1:10" ht="14.4" x14ac:dyDescent="0.25">
      <c r="A77" s="8" t="s">
        <v>162</v>
      </c>
      <c r="B77" s="4" t="s">
        <v>85</v>
      </c>
      <c r="C77" s="4">
        <v>0.38414930939726999</v>
      </c>
      <c r="D77" s="5">
        <f t="shared" si="5"/>
        <v>0.63789698244728976</v>
      </c>
      <c r="E77" s="5">
        <v>0.34234234234234201</v>
      </c>
      <c r="F77" s="5">
        <f t="shared" si="6"/>
        <v>0.58857567799958133</v>
      </c>
      <c r="G77" s="5">
        <f t="shared" si="7"/>
        <v>0.41142432200041867</v>
      </c>
      <c r="H77" s="5">
        <f t="shared" si="8"/>
        <v>0.37688333217138037</v>
      </c>
      <c r="I77" s="5">
        <f t="shared" si="9"/>
        <v>0.41142432200041884</v>
      </c>
      <c r="J77" s="3">
        <v>0.56060606060606</v>
      </c>
    </row>
    <row r="78" spans="1:10" ht="14.4" x14ac:dyDescent="0.25">
      <c r="A78" s="8" t="s">
        <v>187</v>
      </c>
      <c r="B78" s="4" t="s">
        <v>86</v>
      </c>
      <c r="C78" s="4">
        <v>0.42813066976083303</v>
      </c>
      <c r="D78" s="5">
        <f t="shared" si="5"/>
        <v>0.73409383301398445</v>
      </c>
      <c r="E78" s="5">
        <v>0.24757092887679699</v>
      </c>
      <c r="F78" s="5">
        <f t="shared" si="6"/>
        <v>0.42563892716178486</v>
      </c>
      <c r="G78" s="5">
        <f t="shared" si="7"/>
        <v>0.57436107283821514</v>
      </c>
      <c r="H78" s="5">
        <f t="shared" si="8"/>
        <v>0.41096600085750606</v>
      </c>
      <c r="I78" s="5">
        <f t="shared" si="9"/>
        <v>0.57436107283821514</v>
      </c>
      <c r="J78" s="3">
        <v>0.8</v>
      </c>
    </row>
    <row r="79" spans="1:10" ht="14.4" x14ac:dyDescent="0.25">
      <c r="A79" s="8" t="s">
        <v>163</v>
      </c>
      <c r="B79" s="4" t="s">
        <v>87</v>
      </c>
      <c r="C79" s="4">
        <v>0.321041962416792</v>
      </c>
      <c r="D79" s="5">
        <f t="shared" si="5"/>
        <v>0.49986741771897897</v>
      </c>
      <c r="E79" s="5">
        <v>0.219692489651094</v>
      </c>
      <c r="F79" s="5">
        <f t="shared" si="6"/>
        <v>0.37770862687649409</v>
      </c>
      <c r="G79" s="5">
        <f t="shared" si="7"/>
        <v>0.62229137312350591</v>
      </c>
      <c r="H79" s="5">
        <f t="shared" si="8"/>
        <v>0.42099193138729996</v>
      </c>
      <c r="I79" s="5">
        <f t="shared" si="9"/>
        <v>0.62229137312350591</v>
      </c>
      <c r="J79" s="3">
        <v>0.66666666666666596</v>
      </c>
    </row>
    <row r="80" spans="1:10" ht="14.4" x14ac:dyDescent="0.25">
      <c r="A80" s="8" t="s">
        <v>164</v>
      </c>
      <c r="B80" s="4" t="s">
        <v>88</v>
      </c>
      <c r="C80" s="4">
        <v>0.34270769009888802</v>
      </c>
      <c r="D80" s="5">
        <f t="shared" si="5"/>
        <v>0.54725510084257678</v>
      </c>
      <c r="E80" s="5">
        <v>0.295715778474399</v>
      </c>
      <c r="F80" s="5">
        <f t="shared" si="6"/>
        <v>0.50841246694717201</v>
      </c>
      <c r="G80" s="5">
        <f t="shared" si="7"/>
        <v>0.49158753305282799</v>
      </c>
      <c r="H80" s="5">
        <f t="shared" si="8"/>
        <v>0.39365165576361349</v>
      </c>
      <c r="I80" s="5">
        <f t="shared" si="9"/>
        <v>0.49158753305282799</v>
      </c>
      <c r="J80" s="3">
        <v>0.95833333333333304</v>
      </c>
    </row>
    <row r="81" spans="1:10" ht="14.4" x14ac:dyDescent="0.25">
      <c r="A81" s="8" t="s">
        <v>165</v>
      </c>
      <c r="B81" s="4" t="s">
        <v>89</v>
      </c>
      <c r="C81" s="4">
        <v>0.33366562692163598</v>
      </c>
      <c r="D81" s="5">
        <f t="shared" si="5"/>
        <v>0.52747813184738079</v>
      </c>
      <c r="E81" s="5">
        <v>0.26602564102564102</v>
      </c>
      <c r="F81" s="5">
        <f t="shared" si="6"/>
        <v>0.45736738540908806</v>
      </c>
      <c r="G81" s="5">
        <f t="shared" si="7"/>
        <v>0.54263261459091194</v>
      </c>
      <c r="H81" s="5">
        <f t="shared" si="8"/>
        <v>0.40432912780827646</v>
      </c>
      <c r="I81" s="5">
        <f t="shared" si="9"/>
        <v>0.54263261459091183</v>
      </c>
      <c r="J81" s="3">
        <v>0.66666666666666596</v>
      </c>
    </row>
    <row r="82" spans="1:10" ht="14.4" x14ac:dyDescent="0.25">
      <c r="A82" s="8" t="s">
        <v>6</v>
      </c>
      <c r="B82" s="4" t="s">
        <v>90</v>
      </c>
      <c r="C82" s="4">
        <v>0.37855319399857301</v>
      </c>
      <c r="D82" s="5">
        <f t="shared" si="5"/>
        <v>0.62565705461621668</v>
      </c>
      <c r="E82" s="5">
        <v>0.243963685532161</v>
      </c>
      <c r="F82" s="5">
        <f t="shared" si="6"/>
        <v>0.41943713604604999</v>
      </c>
      <c r="G82" s="5">
        <f t="shared" si="7"/>
        <v>0.58056286395394996</v>
      </c>
      <c r="H82" s="5">
        <f t="shared" si="8"/>
        <v>0.41226327474305546</v>
      </c>
      <c r="I82" s="5">
        <f t="shared" si="9"/>
        <v>0.58056286395394974</v>
      </c>
      <c r="J82" s="3">
        <v>0.85714285714285698</v>
      </c>
    </row>
    <row r="83" spans="1:10" ht="14.4" x14ac:dyDescent="0.25">
      <c r="A83" s="8" t="s">
        <v>166</v>
      </c>
      <c r="B83" s="4" t="s">
        <v>91</v>
      </c>
      <c r="C83" s="4">
        <v>0.37888933510324402</v>
      </c>
      <c r="D83" s="5">
        <f t="shared" si="5"/>
        <v>0.62639226870118503</v>
      </c>
      <c r="E83" s="5">
        <v>0.28633271490414303</v>
      </c>
      <c r="F83" s="5">
        <f t="shared" si="6"/>
        <v>0.49228053607122457</v>
      </c>
      <c r="G83" s="5">
        <f t="shared" si="7"/>
        <v>0.50771946392877543</v>
      </c>
      <c r="H83" s="5">
        <f t="shared" si="8"/>
        <v>0.39702608941645923</v>
      </c>
      <c r="I83" s="5">
        <f t="shared" si="9"/>
        <v>0.50771946392877543</v>
      </c>
      <c r="J83" s="3">
        <v>0.66666666666666596</v>
      </c>
    </row>
    <row r="84" spans="1:10" ht="14.4" x14ac:dyDescent="0.25">
      <c r="A84" s="8" t="s">
        <v>167</v>
      </c>
      <c r="B84" s="4" t="s">
        <v>92</v>
      </c>
      <c r="C84" s="4">
        <v>0.285382609416171</v>
      </c>
      <c r="D84" s="5">
        <f t="shared" si="5"/>
        <v>0.42187261665894521</v>
      </c>
      <c r="E84" s="5">
        <v>0.28633271490414303</v>
      </c>
      <c r="F84" s="5">
        <f t="shared" si="6"/>
        <v>0.49228053607122457</v>
      </c>
      <c r="G84" s="5">
        <f t="shared" si="7"/>
        <v>0.50771946392877543</v>
      </c>
      <c r="H84" s="5">
        <f t="shared" si="8"/>
        <v>0.39702608941645923</v>
      </c>
      <c r="I84" s="5">
        <f t="shared" si="9"/>
        <v>0.50771946392877543</v>
      </c>
      <c r="J84" s="3">
        <v>0.75</v>
      </c>
    </row>
    <row r="85" spans="1:10" ht="14.4" x14ac:dyDescent="0.25">
      <c r="A85" s="8" t="s">
        <v>168</v>
      </c>
      <c r="B85" s="4" t="s">
        <v>93</v>
      </c>
      <c r="C85" s="4">
        <v>0.31768478949864398</v>
      </c>
      <c r="D85" s="5">
        <f t="shared" si="5"/>
        <v>0.49252454658302408</v>
      </c>
      <c r="E85" s="5">
        <v>0.203643461288223</v>
      </c>
      <c r="F85" s="5">
        <f t="shared" si="6"/>
        <v>0.35011616581754262</v>
      </c>
      <c r="G85" s="5">
        <f t="shared" si="7"/>
        <v>0.64988383418245732</v>
      </c>
      <c r="H85" s="5">
        <f t="shared" si="8"/>
        <v>0.42676364773534015</v>
      </c>
      <c r="I85" s="5">
        <f t="shared" si="9"/>
        <v>0.6498838341824571</v>
      </c>
      <c r="J85" s="3">
        <v>0.66666666666666596</v>
      </c>
    </row>
    <row r="86" spans="1:10" ht="14.4" x14ac:dyDescent="0.25">
      <c r="A86" s="8" t="s">
        <v>169</v>
      </c>
      <c r="B86" s="4" t="s">
        <v>94</v>
      </c>
      <c r="C86" s="4">
        <v>0.35923465217023298</v>
      </c>
      <c r="D86" s="5">
        <f t="shared" si="5"/>
        <v>0.58340318010971393</v>
      </c>
      <c r="E86" s="5">
        <v>0.32430069930069899</v>
      </c>
      <c r="F86" s="5">
        <f t="shared" si="6"/>
        <v>0.55755739316573338</v>
      </c>
      <c r="G86" s="5">
        <f t="shared" si="7"/>
        <v>0.44244260683426662</v>
      </c>
      <c r="H86" s="5">
        <f t="shared" si="8"/>
        <v>0.38337165306748278</v>
      </c>
      <c r="I86" s="5">
        <f t="shared" si="9"/>
        <v>0.44244260683426645</v>
      </c>
      <c r="J86" s="3">
        <v>0.66666666666666596</v>
      </c>
    </row>
    <row r="87" spans="1:10" ht="14.4" x14ac:dyDescent="0.25">
      <c r="A87" s="8" t="s">
        <v>170</v>
      </c>
      <c r="B87" s="4" t="s">
        <v>95</v>
      </c>
      <c r="C87" s="4">
        <v>0.431735694763272</v>
      </c>
      <c r="D87" s="5">
        <f t="shared" si="5"/>
        <v>0.74197881084509598</v>
      </c>
      <c r="E87" s="5">
        <v>0.39510013610733002</v>
      </c>
      <c r="F87" s="5">
        <f t="shared" si="6"/>
        <v>0.67928007063336771</v>
      </c>
      <c r="G87" s="5">
        <f t="shared" si="7"/>
        <v>0.32071992936663229</v>
      </c>
      <c r="H87" s="5">
        <f t="shared" si="8"/>
        <v>0.35791003273698119</v>
      </c>
      <c r="I87" s="5">
        <f t="shared" si="9"/>
        <v>0.32071992936663252</v>
      </c>
      <c r="J87" s="3">
        <v>0.76923076923076905</v>
      </c>
    </row>
    <row r="88" spans="1:10" ht="14.4" x14ac:dyDescent="0.25">
      <c r="A88" s="8" t="s">
        <v>171</v>
      </c>
      <c r="B88" s="4" t="s">
        <v>96</v>
      </c>
      <c r="C88" s="4">
        <v>0.305236789848219</v>
      </c>
      <c r="D88" s="5">
        <f t="shared" si="5"/>
        <v>0.46529804989607187</v>
      </c>
      <c r="E88" s="5">
        <v>0.409576732157377</v>
      </c>
      <c r="F88" s="5">
        <f t="shared" si="6"/>
        <v>0.70416911087590339</v>
      </c>
      <c r="G88" s="5">
        <f t="shared" si="7"/>
        <v>0.29583088912409661</v>
      </c>
      <c r="H88" s="5">
        <f t="shared" si="8"/>
        <v>0.3527038106407368</v>
      </c>
      <c r="I88" s="5">
        <f t="shared" si="9"/>
        <v>0.29583088912409661</v>
      </c>
      <c r="J88" s="3">
        <v>0.66666666666666596</v>
      </c>
    </row>
    <row r="89" spans="1:10" ht="14.4" x14ac:dyDescent="0.25">
      <c r="A89" s="8" t="s">
        <v>188</v>
      </c>
      <c r="B89" s="4" t="s">
        <v>97</v>
      </c>
      <c r="C89" s="4">
        <v>0.37715652077949302</v>
      </c>
      <c r="D89" s="5">
        <f t="shared" si="5"/>
        <v>0.62260222493755923</v>
      </c>
      <c r="E89" s="5">
        <v>0.25019534302234703</v>
      </c>
      <c r="F89" s="5">
        <f t="shared" si="6"/>
        <v>0.43015097882474901</v>
      </c>
      <c r="G89" s="5">
        <f t="shared" si="7"/>
        <v>0.56984902117525094</v>
      </c>
      <c r="H89" s="5">
        <f t="shared" si="8"/>
        <v>0.41002218209879898</v>
      </c>
      <c r="I89" s="5">
        <f t="shared" si="9"/>
        <v>0.56984902117525082</v>
      </c>
      <c r="J89" s="3">
        <v>0.875</v>
      </c>
    </row>
    <row r="90" spans="1:10" ht="14.4" x14ac:dyDescent="0.25">
      <c r="A90" s="8" t="s">
        <v>172</v>
      </c>
      <c r="B90" s="4" t="s">
        <v>98</v>
      </c>
      <c r="C90" s="4">
        <v>0.30407366020943599</v>
      </c>
      <c r="D90" s="5">
        <f t="shared" si="5"/>
        <v>0.46275403108613078</v>
      </c>
      <c r="E90" s="5">
        <v>0.14116652578191</v>
      </c>
      <c r="F90" s="5">
        <f t="shared" si="6"/>
        <v>0.24270203637225207</v>
      </c>
      <c r="G90" s="5">
        <f t="shared" si="7"/>
        <v>0.75729796362774793</v>
      </c>
      <c r="H90" s="5">
        <f t="shared" si="8"/>
        <v>0.44923224470482898</v>
      </c>
      <c r="I90" s="5">
        <f t="shared" si="9"/>
        <v>0.75729796362774793</v>
      </c>
      <c r="J90" s="3">
        <v>0.66666666666666596</v>
      </c>
    </row>
    <row r="91" spans="1:10" ht="14.4" x14ac:dyDescent="0.25">
      <c r="A91" s="8" t="s">
        <v>173</v>
      </c>
      <c r="B91" s="4" t="s">
        <v>99</v>
      </c>
      <c r="C91" s="4">
        <v>0.23405709454839299</v>
      </c>
      <c r="D91" s="5">
        <f t="shared" si="5"/>
        <v>0.30961249457130002</v>
      </c>
      <c r="E91" s="5">
        <v>0.31279763181603598</v>
      </c>
      <c r="F91" s="5">
        <f t="shared" si="6"/>
        <v>0.53778062322971987</v>
      </c>
      <c r="G91" s="5">
        <f t="shared" si="7"/>
        <v>0.46221937677028013</v>
      </c>
      <c r="H91" s="5">
        <f t="shared" si="8"/>
        <v>0.38750850429315808</v>
      </c>
      <c r="I91" s="5">
        <f t="shared" si="9"/>
        <v>0.46221937677028024</v>
      </c>
      <c r="J91" s="3">
        <v>0.66666666666666596</v>
      </c>
    </row>
    <row r="92" spans="1:10" ht="14.4" x14ac:dyDescent="0.25">
      <c r="A92" s="8" t="s">
        <v>174</v>
      </c>
      <c r="B92" s="4" t="s">
        <v>100</v>
      </c>
      <c r="C92" s="4">
        <v>0.35265319017584401</v>
      </c>
      <c r="D92" s="5">
        <f t="shared" si="5"/>
        <v>0.56900808385186541</v>
      </c>
      <c r="E92" s="5">
        <v>0.23929008567931401</v>
      </c>
      <c r="F92" s="5">
        <f t="shared" si="6"/>
        <v>0.41140200027152929</v>
      </c>
      <c r="G92" s="5">
        <f t="shared" si="7"/>
        <v>0.58859799972847071</v>
      </c>
      <c r="H92" s="5">
        <f t="shared" si="8"/>
        <v>0.41394404270389235</v>
      </c>
      <c r="I92" s="5">
        <f t="shared" si="9"/>
        <v>0.5885979997284706</v>
      </c>
      <c r="J92" s="3">
        <v>0.66666666666666596</v>
      </c>
    </row>
    <row r="93" spans="1:10" ht="14.4" x14ac:dyDescent="0.25">
      <c r="A93" s="8" t="s">
        <v>175</v>
      </c>
      <c r="B93" s="4" t="s">
        <v>101</v>
      </c>
      <c r="C93" s="4">
        <v>0.383448956918157</v>
      </c>
      <c r="D93" s="5">
        <f t="shared" si="5"/>
        <v>0.63636515846048425</v>
      </c>
      <c r="E93" s="5">
        <v>0.275178687459389</v>
      </c>
      <c r="F93" s="5">
        <f t="shared" si="6"/>
        <v>0.47310385690029966</v>
      </c>
      <c r="G93" s="5">
        <f t="shared" si="7"/>
        <v>0.52689614309970034</v>
      </c>
      <c r="H93" s="5">
        <f t="shared" si="8"/>
        <v>0.40103741527954467</v>
      </c>
      <c r="I93" s="5">
        <f t="shared" si="9"/>
        <v>0.52689614309970034</v>
      </c>
      <c r="J93" s="3">
        <v>0.66666666666666596</v>
      </c>
    </row>
    <row r="94" spans="1:10" ht="14.4" x14ac:dyDescent="0.25">
      <c r="A94" s="8" t="s">
        <v>189</v>
      </c>
      <c r="B94" s="4" t="s">
        <v>102</v>
      </c>
      <c r="C94" s="4">
        <v>0.43129655553902302</v>
      </c>
      <c r="D94" s="5">
        <f t="shared" si="5"/>
        <v>0.74101831735458423</v>
      </c>
      <c r="E94" s="5">
        <v>0.31182795698924698</v>
      </c>
      <c r="F94" s="5">
        <f t="shared" si="6"/>
        <v>0.53611349957007703</v>
      </c>
      <c r="G94" s="5">
        <f t="shared" si="7"/>
        <v>0.46388650042992297</v>
      </c>
      <c r="H94" s="5">
        <f t="shared" si="8"/>
        <v>0.38785722870958494</v>
      </c>
      <c r="I94" s="5">
        <f t="shared" si="9"/>
        <v>0.4638865004299228</v>
      </c>
      <c r="J94" s="3">
        <v>0.97368421052631504</v>
      </c>
    </row>
    <row r="95" spans="1:10" ht="14.4" x14ac:dyDescent="0.25">
      <c r="A95" s="8" t="s">
        <v>176</v>
      </c>
      <c r="B95" s="4" t="s">
        <v>103</v>
      </c>
      <c r="C95" s="4">
        <v>0.27468747297330698</v>
      </c>
      <c r="D95" s="5">
        <f t="shared" si="5"/>
        <v>0.39848001502771069</v>
      </c>
      <c r="E95" s="5">
        <v>0.34192163177670398</v>
      </c>
      <c r="F95" s="5">
        <f t="shared" si="6"/>
        <v>0.58785236692822007</v>
      </c>
      <c r="G95" s="5">
        <f t="shared" si="7"/>
        <v>0.41214763307177993</v>
      </c>
      <c r="H95" s="5">
        <f t="shared" si="8"/>
        <v>0.37703463242424196</v>
      </c>
      <c r="I95" s="5">
        <f t="shared" si="9"/>
        <v>0.41214763307177987</v>
      </c>
      <c r="J95" s="3">
        <v>0.66666666666666596</v>
      </c>
    </row>
    <row r="98" spans="3:8" x14ac:dyDescent="0.25">
      <c r="C98" s="4" t="s">
        <v>8</v>
      </c>
      <c r="E98" s="4" t="s">
        <v>8</v>
      </c>
      <c r="H98" s="4" t="s">
        <v>8</v>
      </c>
    </row>
    <row r="99" spans="3:8" x14ac:dyDescent="0.25">
      <c r="C99" s="3">
        <f>MIN(C2:C95)</f>
        <v>9.2501746149943401E-2</v>
      </c>
      <c r="D99" s="3"/>
      <c r="E99" s="3">
        <f>MIN(E2:E95)</f>
        <v>0</v>
      </c>
      <c r="H99" s="3">
        <f>MIN(H2:H95)</f>
        <v>0.29082270567641899</v>
      </c>
    </row>
    <row r="100" spans="3:8" x14ac:dyDescent="0.25">
      <c r="C100" s="4" t="s">
        <v>9</v>
      </c>
      <c r="E100" s="4" t="s">
        <v>9</v>
      </c>
      <c r="H100" s="4" t="s">
        <v>9</v>
      </c>
    </row>
    <row r="101" spans="3:8" x14ac:dyDescent="0.25">
      <c r="C101" s="3">
        <f>MAX(C2:C95)</f>
        <v>0.54970341236322695</v>
      </c>
      <c r="D101" s="3"/>
      <c r="E101" s="3">
        <f>MAX(E2:E95)</f>
        <v>0.58164541135283798</v>
      </c>
      <c r="F101" s="3"/>
      <c r="G101" s="3"/>
      <c r="H101" s="3">
        <f>MAX(H2:H95)</f>
        <v>0.5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B481-FC48-487E-B989-514E9D40C6C8}">
  <dimension ref="A1:J101"/>
  <sheetViews>
    <sheetView workbookViewId="0">
      <selection sqref="A1:XFD1"/>
    </sheetView>
  </sheetViews>
  <sheetFormatPr defaultRowHeight="13.8" x14ac:dyDescent="0.25"/>
  <cols>
    <col min="1" max="1" width="36.5546875" style="4" customWidth="1"/>
    <col min="2" max="2" width="8.88671875" style="6"/>
    <col min="3" max="3" width="8.88671875" style="4"/>
    <col min="4" max="16384" width="8.88671875" style="6"/>
  </cols>
  <sheetData>
    <row r="1" spans="1:10" s="4" customFormat="1" x14ac:dyDescent="0.25">
      <c r="C1" s="10" t="s">
        <v>190</v>
      </c>
      <c r="D1" s="10" t="s">
        <v>191</v>
      </c>
      <c r="E1" s="10" t="s">
        <v>192</v>
      </c>
      <c r="F1" s="10" t="s">
        <v>193</v>
      </c>
      <c r="G1" s="10" t="s">
        <v>194</v>
      </c>
      <c r="H1" s="4" t="s">
        <v>195</v>
      </c>
      <c r="I1" s="4" t="s">
        <v>196</v>
      </c>
      <c r="J1" s="10" t="s">
        <v>197</v>
      </c>
    </row>
    <row r="2" spans="1:10" x14ac:dyDescent="0.25">
      <c r="A2" s="8" t="s">
        <v>0</v>
      </c>
      <c r="B2" s="4" t="s">
        <v>7</v>
      </c>
      <c r="C2" s="4">
        <v>0.50779488689033203</v>
      </c>
      <c r="D2" s="5">
        <f>(C2-$C$99)/($C$101-$C$99)</f>
        <v>0.92728773833785172</v>
      </c>
      <c r="E2" s="5">
        <v>0.419582179713063</v>
      </c>
      <c r="F2" s="5">
        <f>(E2-$E$99)/($E$101-$E$99)</f>
        <v>0.64087617527974439</v>
      </c>
      <c r="G2" s="5">
        <f>1-F2</f>
        <v>0.35912382472025561</v>
      </c>
      <c r="H2" s="5">
        <f>(E2+G2)/2</f>
        <v>0.38935300221665931</v>
      </c>
      <c r="I2" s="5">
        <f>(H2-$H$99)/($H$101-$H$99)</f>
        <v>0.35912382472025561</v>
      </c>
      <c r="J2" s="5">
        <v>0.875</v>
      </c>
    </row>
    <row r="3" spans="1:10" ht="14.4" x14ac:dyDescent="0.25">
      <c r="A3" s="8" t="s">
        <v>177</v>
      </c>
      <c r="B3" s="4" t="s">
        <v>11</v>
      </c>
      <c r="C3" s="4">
        <v>0.37655544852621298</v>
      </c>
      <c r="D3" s="5">
        <f t="shared" ref="D3:D66" si="0">(C3-$C$99)/($C$101-$C$99)</f>
        <v>0.63197611429924605</v>
      </c>
      <c r="E3" s="5">
        <v>0.25239716645141003</v>
      </c>
      <c r="F3" s="5">
        <f t="shared" ref="F3:F66" si="1">(E3-$E$99)/($E$101-$E$99)</f>
        <v>0.38551525424040473</v>
      </c>
      <c r="G3" s="5">
        <f t="shared" ref="G3:G66" si="2">1-F3</f>
        <v>0.61448474575959522</v>
      </c>
      <c r="H3" s="5">
        <f t="shared" ref="H3:H66" si="3">(E3+G3)/2</f>
        <v>0.4334409561055026</v>
      </c>
      <c r="I3" s="5">
        <f t="shared" ref="I3:I66" si="4">(H3-$H$99)/($H$101-$H$99)</f>
        <v>0.614484745759595</v>
      </c>
      <c r="J3" s="5">
        <v>0.88888888888888795</v>
      </c>
    </row>
    <row r="4" spans="1:10" ht="14.4" x14ac:dyDescent="0.25">
      <c r="A4" s="8" t="s">
        <v>104</v>
      </c>
      <c r="B4" s="4" t="s">
        <v>12</v>
      </c>
      <c r="C4" s="4">
        <v>0.37630888649955602</v>
      </c>
      <c r="D4" s="5">
        <f t="shared" si="0"/>
        <v>0.63142130673967467</v>
      </c>
      <c r="E4" s="5">
        <v>0.368401479953964</v>
      </c>
      <c r="F4" s="5">
        <f t="shared" si="1"/>
        <v>0.56270199940749122</v>
      </c>
      <c r="G4" s="5">
        <f t="shared" si="2"/>
        <v>0.43729800059250878</v>
      </c>
      <c r="H4" s="5">
        <f t="shared" si="3"/>
        <v>0.40284974027323639</v>
      </c>
      <c r="I4" s="5">
        <f t="shared" si="4"/>
        <v>0.4372980005925089</v>
      </c>
      <c r="J4" s="5">
        <v>0.952380952380952</v>
      </c>
    </row>
    <row r="5" spans="1:10" ht="14.4" x14ac:dyDescent="0.25">
      <c r="A5" s="8" t="s">
        <v>105</v>
      </c>
      <c r="B5" s="4" t="s">
        <v>13</v>
      </c>
      <c r="C5" s="4">
        <v>0.35395121434597898</v>
      </c>
      <c r="D5" s="5">
        <f t="shared" si="0"/>
        <v>0.58111264529084072</v>
      </c>
      <c r="E5" s="5">
        <v>0.30858706808073899</v>
      </c>
      <c r="F5" s="5">
        <f t="shared" si="1"/>
        <v>0.47134056090661225</v>
      </c>
      <c r="G5" s="5">
        <f t="shared" si="2"/>
        <v>0.52865943909338775</v>
      </c>
      <c r="H5" s="5">
        <f t="shared" si="3"/>
        <v>0.41862325358706337</v>
      </c>
      <c r="I5" s="5">
        <f t="shared" si="4"/>
        <v>0.52865943909338775</v>
      </c>
      <c r="J5" s="5">
        <v>0.75</v>
      </c>
    </row>
    <row r="6" spans="1:10" ht="14.4" x14ac:dyDescent="0.25">
      <c r="A6" s="8" t="s">
        <v>106</v>
      </c>
      <c r="B6" s="4" t="s">
        <v>14</v>
      </c>
      <c r="C6" s="4">
        <v>0.371803511060809</v>
      </c>
      <c r="D6" s="5">
        <f t="shared" si="0"/>
        <v>0.62128342628007793</v>
      </c>
      <c r="E6" s="5">
        <v>0.29679368809803502</v>
      </c>
      <c r="F6" s="5">
        <f t="shared" si="1"/>
        <v>0.45332717372676412</v>
      </c>
      <c r="G6" s="5">
        <f t="shared" si="2"/>
        <v>0.54667282627323588</v>
      </c>
      <c r="H6" s="5">
        <f t="shared" si="3"/>
        <v>0.42173325718563548</v>
      </c>
      <c r="I6" s="5">
        <f t="shared" si="4"/>
        <v>0.5466728262732361</v>
      </c>
      <c r="J6" s="5">
        <v>0.82352941176470495</v>
      </c>
    </row>
    <row r="7" spans="1:10" ht="14.4" x14ac:dyDescent="0.25">
      <c r="A7" s="8" t="s">
        <v>107</v>
      </c>
      <c r="B7" s="4" t="s">
        <v>15</v>
      </c>
      <c r="C7" s="4">
        <v>0.42111930127929897</v>
      </c>
      <c r="D7" s="5">
        <f t="shared" si="0"/>
        <v>0.73225255478063955</v>
      </c>
      <c r="E7" s="5">
        <v>0.311728395061728</v>
      </c>
      <c r="F7" s="5">
        <f t="shared" si="1"/>
        <v>0.476138671308384</v>
      </c>
      <c r="G7" s="5">
        <f t="shared" si="2"/>
        <v>0.52386132869161606</v>
      </c>
      <c r="H7" s="5">
        <f t="shared" si="3"/>
        <v>0.41779486187667203</v>
      </c>
      <c r="I7" s="5">
        <f t="shared" si="4"/>
        <v>0.52386132869161617</v>
      </c>
      <c r="J7" s="5">
        <v>0.5</v>
      </c>
    </row>
    <row r="8" spans="1:10" ht="14.4" x14ac:dyDescent="0.25">
      <c r="A8" s="8" t="s">
        <v>108</v>
      </c>
      <c r="B8" s="4" t="s">
        <v>16</v>
      </c>
      <c r="C8" s="4">
        <v>0.40365286345634999</v>
      </c>
      <c r="D8" s="5">
        <f t="shared" si="0"/>
        <v>0.69295002359063562</v>
      </c>
      <c r="E8" s="5">
        <v>0.28667773910899702</v>
      </c>
      <c r="F8" s="5">
        <f t="shared" si="1"/>
        <v>0.43787592004899067</v>
      </c>
      <c r="G8" s="5">
        <f t="shared" si="2"/>
        <v>0.56212407995100933</v>
      </c>
      <c r="H8" s="5">
        <f t="shared" si="3"/>
        <v>0.4244009095300032</v>
      </c>
      <c r="I8" s="5">
        <f t="shared" si="4"/>
        <v>0.56212407995100944</v>
      </c>
      <c r="J8" s="5">
        <v>0.5</v>
      </c>
    </row>
    <row r="9" spans="1:10" ht="14.4" x14ac:dyDescent="0.25">
      <c r="A9" s="8" t="s">
        <v>109</v>
      </c>
      <c r="B9" s="4" t="s">
        <v>17</v>
      </c>
      <c r="C9" s="4">
        <v>0.340904074210366</v>
      </c>
      <c r="D9" s="5">
        <f t="shared" si="0"/>
        <v>0.5517543046080865</v>
      </c>
      <c r="E9" s="5">
        <v>0.29957805907172902</v>
      </c>
      <c r="F9" s="5">
        <f t="shared" si="1"/>
        <v>0.45758006411739333</v>
      </c>
      <c r="G9" s="5">
        <f t="shared" si="2"/>
        <v>0.54241993588260673</v>
      </c>
      <c r="H9" s="5">
        <f t="shared" si="3"/>
        <v>0.42099899747716785</v>
      </c>
      <c r="I9" s="5">
        <f t="shared" si="4"/>
        <v>0.54241993588260673</v>
      </c>
      <c r="J9" s="5">
        <v>0.92307692307692302</v>
      </c>
    </row>
    <row r="10" spans="1:10" ht="14.4" x14ac:dyDescent="0.25">
      <c r="A10" s="8" t="s">
        <v>110</v>
      </c>
      <c r="B10" s="4" t="s">
        <v>18</v>
      </c>
      <c r="C10" s="4">
        <v>0.244655114000741</v>
      </c>
      <c r="D10" s="5">
        <f t="shared" si="0"/>
        <v>0.33517735863951481</v>
      </c>
      <c r="E10" s="5">
        <v>0.58125000000000004</v>
      </c>
      <c r="F10" s="5">
        <f t="shared" si="1"/>
        <v>0.88781005221932208</v>
      </c>
      <c r="G10" s="5">
        <f t="shared" si="2"/>
        <v>0.11218994778067792</v>
      </c>
      <c r="H10" s="5">
        <f t="shared" si="3"/>
        <v>0.34671997389033898</v>
      </c>
      <c r="I10" s="5">
        <f t="shared" si="4"/>
        <v>0.11218994778067799</v>
      </c>
      <c r="J10" s="5">
        <v>0.66666666666666596</v>
      </c>
    </row>
    <row r="11" spans="1:10" ht="14.4" x14ac:dyDescent="0.25">
      <c r="A11" s="8" t="s">
        <v>178</v>
      </c>
      <c r="B11" s="4" t="s">
        <v>19</v>
      </c>
      <c r="C11" s="4">
        <v>0.46906189352954197</v>
      </c>
      <c r="D11" s="5">
        <f t="shared" si="0"/>
        <v>0.84013174837151028</v>
      </c>
      <c r="E11" s="5">
        <v>0.35356849876948299</v>
      </c>
      <c r="F11" s="5">
        <f t="shared" si="1"/>
        <v>0.54004587932153458</v>
      </c>
      <c r="G11" s="5">
        <f t="shared" si="2"/>
        <v>0.45995412067846542</v>
      </c>
      <c r="H11" s="5">
        <f t="shared" si="3"/>
        <v>0.40676130972397417</v>
      </c>
      <c r="I11" s="5">
        <f t="shared" si="4"/>
        <v>0.45995412067846531</v>
      </c>
      <c r="J11" s="5">
        <v>0.984375</v>
      </c>
    </row>
    <row r="12" spans="1:10" ht="14.4" x14ac:dyDescent="0.25">
      <c r="A12" s="8" t="s">
        <v>179</v>
      </c>
      <c r="B12" s="4" t="s">
        <v>20</v>
      </c>
      <c r="C12" s="4">
        <v>0.42038849791967298</v>
      </c>
      <c r="D12" s="5">
        <f t="shared" si="0"/>
        <v>0.73060811977181828</v>
      </c>
      <c r="E12" s="5">
        <v>0.43120016356573299</v>
      </c>
      <c r="F12" s="5">
        <f t="shared" si="1"/>
        <v>0.6586216597544492</v>
      </c>
      <c r="G12" s="5">
        <f t="shared" si="2"/>
        <v>0.3413783402455508</v>
      </c>
      <c r="H12" s="5">
        <f t="shared" si="3"/>
        <v>0.38628925190564189</v>
      </c>
      <c r="I12" s="5">
        <f t="shared" si="4"/>
        <v>0.34137834024555086</v>
      </c>
      <c r="J12" s="5">
        <v>0.90196078431372495</v>
      </c>
    </row>
    <row r="13" spans="1:10" ht="14.4" x14ac:dyDescent="0.25">
      <c r="A13" s="8" t="s">
        <v>111</v>
      </c>
      <c r="B13" s="4" t="s">
        <v>21</v>
      </c>
      <c r="C13" s="4">
        <v>0.26004131125340202</v>
      </c>
      <c r="D13" s="5">
        <f t="shared" si="0"/>
        <v>0.36979898575936937</v>
      </c>
      <c r="E13" s="5">
        <v>0.36647700774181502</v>
      </c>
      <c r="F13" s="5">
        <f t="shared" si="1"/>
        <v>0.55976253140721155</v>
      </c>
      <c r="G13" s="5">
        <f t="shared" si="2"/>
        <v>0.44023746859278845</v>
      </c>
      <c r="H13" s="5">
        <f t="shared" si="3"/>
        <v>0.40335723816730173</v>
      </c>
      <c r="I13" s="5">
        <f t="shared" si="4"/>
        <v>0.44023746859278834</v>
      </c>
      <c r="J13" s="5">
        <v>0.66666666666666596</v>
      </c>
    </row>
    <row r="14" spans="1:10" ht="14.4" x14ac:dyDescent="0.25">
      <c r="A14" s="8" t="s">
        <v>112</v>
      </c>
      <c r="B14" s="4" t="s">
        <v>22</v>
      </c>
      <c r="C14" s="4">
        <v>0.37620820139101402</v>
      </c>
      <c r="D14" s="5">
        <f t="shared" si="0"/>
        <v>0.63119474768630879</v>
      </c>
      <c r="E14" s="5">
        <v>0.32041871172305902</v>
      </c>
      <c r="F14" s="5">
        <f t="shared" si="1"/>
        <v>0.48941239257960761</v>
      </c>
      <c r="G14" s="5">
        <f t="shared" si="2"/>
        <v>0.51058760742039233</v>
      </c>
      <c r="H14" s="5">
        <f t="shared" si="3"/>
        <v>0.41550315957172568</v>
      </c>
      <c r="I14" s="5">
        <f t="shared" si="4"/>
        <v>0.51058760742039222</v>
      </c>
      <c r="J14" s="5">
        <v>0.66666666666666596</v>
      </c>
    </row>
    <row r="15" spans="1:10" ht="14.4" x14ac:dyDescent="0.25">
      <c r="A15" s="8" t="s">
        <v>113</v>
      </c>
      <c r="B15" s="4" t="s">
        <v>23</v>
      </c>
      <c r="C15" s="4">
        <v>0.40040561296319899</v>
      </c>
      <c r="D15" s="5">
        <f t="shared" si="0"/>
        <v>0.68564314367141488</v>
      </c>
      <c r="E15" s="5">
        <v>0.29166666666666602</v>
      </c>
      <c r="F15" s="5">
        <f t="shared" si="1"/>
        <v>0.4454960835509133</v>
      </c>
      <c r="G15" s="5">
        <f t="shared" si="2"/>
        <v>0.5545039164490867</v>
      </c>
      <c r="H15" s="5">
        <f t="shared" si="3"/>
        <v>0.42308529155787633</v>
      </c>
      <c r="I15" s="5">
        <f t="shared" si="4"/>
        <v>0.55450391644908648</v>
      </c>
      <c r="J15" s="5">
        <v>0.83333333333333304</v>
      </c>
    </row>
    <row r="16" spans="1:10" ht="14.4" x14ac:dyDescent="0.25">
      <c r="A16" s="8" t="s">
        <v>114</v>
      </c>
      <c r="B16" s="4" t="s">
        <v>24</v>
      </c>
      <c r="C16" s="4">
        <v>0.35510514080002797</v>
      </c>
      <c r="D16" s="5">
        <f t="shared" si="0"/>
        <v>0.58370918105336722</v>
      </c>
      <c r="E16" s="5">
        <v>0.36025716579793998</v>
      </c>
      <c r="F16" s="5">
        <f t="shared" si="1"/>
        <v>0.55026225063131884</v>
      </c>
      <c r="G16" s="5">
        <f t="shared" si="2"/>
        <v>0.44973774936868116</v>
      </c>
      <c r="H16" s="5">
        <f t="shared" si="3"/>
        <v>0.40499745758331057</v>
      </c>
      <c r="I16" s="5">
        <f t="shared" si="4"/>
        <v>0.44973774936868111</v>
      </c>
      <c r="J16" s="5">
        <v>0.96732026143790795</v>
      </c>
    </row>
    <row r="17" spans="1:10" ht="14.4" x14ac:dyDescent="0.25">
      <c r="A17" s="8" t="s">
        <v>115</v>
      </c>
      <c r="B17" s="4" t="s">
        <v>25</v>
      </c>
      <c r="C17" s="4">
        <v>0.37100536845676102</v>
      </c>
      <c r="D17" s="5">
        <f t="shared" si="0"/>
        <v>0.6194874662275679</v>
      </c>
      <c r="E17" s="5">
        <v>0.29118247323920199</v>
      </c>
      <c r="F17" s="5">
        <f t="shared" si="1"/>
        <v>0.44475651917737163</v>
      </c>
      <c r="G17" s="5">
        <f t="shared" si="2"/>
        <v>0.55524348082262831</v>
      </c>
      <c r="H17" s="5">
        <f t="shared" si="3"/>
        <v>0.42321297703091515</v>
      </c>
      <c r="I17" s="5">
        <f t="shared" si="4"/>
        <v>0.5552434808226282</v>
      </c>
      <c r="J17" s="5">
        <v>0.88888888888888795</v>
      </c>
    </row>
    <row r="18" spans="1:10" ht="14.4" x14ac:dyDescent="0.25">
      <c r="A18" s="8" t="s">
        <v>116</v>
      </c>
      <c r="B18" s="4" t="s">
        <v>26</v>
      </c>
      <c r="C18" s="4">
        <v>0.36913215498409402</v>
      </c>
      <c r="D18" s="5">
        <f t="shared" si="0"/>
        <v>0.61527240923189941</v>
      </c>
      <c r="E18" s="5">
        <v>0.39510013610733002</v>
      </c>
      <c r="F18" s="5">
        <f t="shared" si="1"/>
        <v>0.6034819311299956</v>
      </c>
      <c r="G18" s="5">
        <f t="shared" si="2"/>
        <v>0.3965180688700044</v>
      </c>
      <c r="H18" s="5">
        <f t="shared" si="3"/>
        <v>0.39580910248866719</v>
      </c>
      <c r="I18" s="5">
        <f t="shared" si="4"/>
        <v>0.39651806887000418</v>
      </c>
      <c r="J18" s="5">
        <v>0.91666666666666596</v>
      </c>
    </row>
    <row r="19" spans="1:10" ht="14.4" x14ac:dyDescent="0.25">
      <c r="A19" s="8" t="s">
        <v>117</v>
      </c>
      <c r="B19" s="4" t="s">
        <v>27</v>
      </c>
      <c r="C19" s="4">
        <v>0.45198048622595599</v>
      </c>
      <c r="D19" s="5">
        <f t="shared" si="0"/>
        <v>0.80169560299810849</v>
      </c>
      <c r="E19" s="5">
        <v>0.42719776276933102</v>
      </c>
      <c r="F19" s="5">
        <f t="shared" si="1"/>
        <v>0.65250833216725557</v>
      </c>
      <c r="G19" s="5">
        <f t="shared" si="2"/>
        <v>0.34749166783274443</v>
      </c>
      <c r="H19" s="5">
        <f t="shared" si="3"/>
        <v>0.38734471530103776</v>
      </c>
      <c r="I19" s="5">
        <f t="shared" si="4"/>
        <v>0.34749166783274471</v>
      </c>
      <c r="J19" s="5">
        <v>0.66666666666666596</v>
      </c>
    </row>
    <row r="20" spans="1:10" ht="14.4" x14ac:dyDescent="0.25">
      <c r="A20" s="8" t="s">
        <v>118</v>
      </c>
      <c r="B20" s="4" t="s">
        <v>28</v>
      </c>
      <c r="C20" s="4">
        <v>0.37121838926593798</v>
      </c>
      <c r="D20" s="5">
        <f t="shared" si="0"/>
        <v>0.61996680019833306</v>
      </c>
      <c r="E20" s="5">
        <v>0.30604951927167501</v>
      </c>
      <c r="F20" s="5">
        <f t="shared" si="1"/>
        <v>0.46746467042801582</v>
      </c>
      <c r="G20" s="5">
        <f t="shared" si="2"/>
        <v>0.53253532957198413</v>
      </c>
      <c r="H20" s="5">
        <f t="shared" si="3"/>
        <v>0.41929242442182957</v>
      </c>
      <c r="I20" s="5">
        <f t="shared" si="4"/>
        <v>0.53253532957198402</v>
      </c>
      <c r="J20" s="5">
        <v>0.66666666666666596</v>
      </c>
    </row>
    <row r="21" spans="1:10" ht="14.4" x14ac:dyDescent="0.25">
      <c r="A21" s="8" t="s">
        <v>119</v>
      </c>
      <c r="B21" s="4" t="s">
        <v>29</v>
      </c>
      <c r="C21" s="4">
        <v>0.38723992298183102</v>
      </c>
      <c r="D21" s="5">
        <f t="shared" si="0"/>
        <v>0.65601804516101514</v>
      </c>
      <c r="E21" s="5">
        <v>0.41641641641641602</v>
      </c>
      <c r="F21" s="5">
        <f t="shared" si="1"/>
        <v>0.63604074047938286</v>
      </c>
      <c r="G21" s="5">
        <f t="shared" si="2"/>
        <v>0.36395925952061714</v>
      </c>
      <c r="H21" s="5">
        <f t="shared" si="3"/>
        <v>0.39018783796851658</v>
      </c>
      <c r="I21" s="5">
        <f t="shared" si="4"/>
        <v>0.36395925952061708</v>
      </c>
      <c r="J21" s="5">
        <v>0.90909090909090895</v>
      </c>
    </row>
    <row r="22" spans="1:10" ht="14.4" x14ac:dyDescent="0.25">
      <c r="A22" s="8" t="s">
        <v>120</v>
      </c>
      <c r="B22" s="4" t="s">
        <v>30</v>
      </c>
      <c r="C22" s="4">
        <v>0.37232375042516103</v>
      </c>
      <c r="D22" s="5">
        <f t="shared" si="0"/>
        <v>0.62245405557787625</v>
      </c>
      <c r="E22" s="5">
        <v>0.35949084303039203</v>
      </c>
      <c r="F22" s="5">
        <f t="shared" si="1"/>
        <v>0.54909175763127815</v>
      </c>
      <c r="G22" s="5">
        <f t="shared" si="2"/>
        <v>0.45090824236872185</v>
      </c>
      <c r="H22" s="5">
        <f t="shared" si="3"/>
        <v>0.40519954269955694</v>
      </c>
      <c r="I22" s="5">
        <f t="shared" si="4"/>
        <v>0.4509082423687219</v>
      </c>
      <c r="J22" s="5">
        <v>0.94545454545454499</v>
      </c>
    </row>
    <row r="23" spans="1:10" ht="14.4" x14ac:dyDescent="0.25">
      <c r="A23" s="8" t="s">
        <v>121</v>
      </c>
      <c r="B23" s="4" t="s">
        <v>31</v>
      </c>
      <c r="C23" s="4">
        <v>0.37100356113958899</v>
      </c>
      <c r="D23" s="5">
        <f t="shared" si="0"/>
        <v>0.61948339944874076</v>
      </c>
      <c r="E23" s="5">
        <v>0.41413135487725899</v>
      </c>
      <c r="F23" s="5">
        <f t="shared" si="1"/>
        <v>0.63255050288040926</v>
      </c>
      <c r="G23" s="5">
        <f t="shared" si="2"/>
        <v>0.36744949711959074</v>
      </c>
      <c r="H23" s="5">
        <f t="shared" si="3"/>
        <v>0.39079042599842484</v>
      </c>
      <c r="I23" s="5">
        <f t="shared" si="4"/>
        <v>0.36744949711959063</v>
      </c>
      <c r="J23" s="5">
        <v>0.90909090909090895</v>
      </c>
    </row>
    <row r="24" spans="1:10" ht="14.4" x14ac:dyDescent="0.25">
      <c r="A24" s="8" t="s">
        <v>122</v>
      </c>
      <c r="B24" s="4" t="s">
        <v>32</v>
      </c>
      <c r="C24" s="4">
        <v>0.29986764740858202</v>
      </c>
      <c r="D24" s="5">
        <f t="shared" si="0"/>
        <v>0.45941518768841666</v>
      </c>
      <c r="E24" s="5">
        <v>0.34054247285401401</v>
      </c>
      <c r="F24" s="5">
        <f t="shared" si="1"/>
        <v>0.52014973007728038</v>
      </c>
      <c r="G24" s="5">
        <f t="shared" si="2"/>
        <v>0.47985026992271962</v>
      </c>
      <c r="H24" s="5">
        <f t="shared" si="3"/>
        <v>0.41019637138836684</v>
      </c>
      <c r="I24" s="5">
        <f t="shared" si="4"/>
        <v>0.47985026992271984</v>
      </c>
      <c r="J24" s="5">
        <v>0.66666666666666596</v>
      </c>
    </row>
    <row r="25" spans="1:10" ht="14.4" x14ac:dyDescent="0.25">
      <c r="A25" s="8" t="s">
        <v>123</v>
      </c>
      <c r="B25" s="4" t="s">
        <v>33</v>
      </c>
      <c r="C25" s="4">
        <v>0.35881391328534001</v>
      </c>
      <c r="D25" s="5">
        <f t="shared" si="0"/>
        <v>0.592054565942843</v>
      </c>
      <c r="E25" s="5">
        <v>0.33888629022633299</v>
      </c>
      <c r="F25" s="5">
        <f t="shared" si="1"/>
        <v>0.51762005165118796</v>
      </c>
      <c r="G25" s="5">
        <f t="shared" si="2"/>
        <v>0.48237994834881204</v>
      </c>
      <c r="H25" s="5">
        <f t="shared" si="3"/>
        <v>0.41063311928757251</v>
      </c>
      <c r="I25" s="5">
        <f t="shared" si="4"/>
        <v>0.48237994834881209</v>
      </c>
      <c r="J25" s="5">
        <v>0.85714285714285698</v>
      </c>
    </row>
    <row r="26" spans="1:10" ht="14.4" x14ac:dyDescent="0.25">
      <c r="A26" s="8" t="s">
        <v>124</v>
      </c>
      <c r="B26" s="4" t="s">
        <v>34</v>
      </c>
      <c r="C26" s="4">
        <v>0.36636394890314899</v>
      </c>
      <c r="D26" s="5">
        <f t="shared" si="0"/>
        <v>0.60904346278388632</v>
      </c>
      <c r="E26" s="5">
        <v>0.35782012335450603</v>
      </c>
      <c r="F26" s="5">
        <f t="shared" si="1"/>
        <v>0.54653987509761415</v>
      </c>
      <c r="G26" s="5">
        <f t="shared" si="2"/>
        <v>0.45346012490238585</v>
      </c>
      <c r="H26" s="5">
        <f t="shared" si="3"/>
        <v>0.40564012412844597</v>
      </c>
      <c r="I26" s="5">
        <f t="shared" si="4"/>
        <v>0.45346012490238607</v>
      </c>
      <c r="J26" s="5">
        <v>0.66666666666666596</v>
      </c>
    </row>
    <row r="27" spans="1:10" ht="14.4" x14ac:dyDescent="0.25">
      <c r="A27" s="8" t="s">
        <v>1</v>
      </c>
      <c r="B27" s="4" t="s">
        <v>35</v>
      </c>
      <c r="C27" s="4">
        <v>0.17075426070775801</v>
      </c>
      <c r="D27" s="5">
        <f t="shared" si="0"/>
        <v>0.16888755066852773</v>
      </c>
      <c r="E27" s="5">
        <v>8.6956521739130405E-2</v>
      </c>
      <c r="F27" s="5">
        <f t="shared" si="1"/>
        <v>0.13281870813940297</v>
      </c>
      <c r="G27" s="5">
        <f t="shared" si="2"/>
        <v>0.867181291860597</v>
      </c>
      <c r="H27" s="5">
        <f t="shared" si="3"/>
        <v>0.47706890679986369</v>
      </c>
      <c r="I27" s="5">
        <f t="shared" si="4"/>
        <v>0.86718129186059689</v>
      </c>
      <c r="J27" s="5">
        <v>0.784810126582278</v>
      </c>
    </row>
    <row r="28" spans="1:10" ht="14.4" x14ac:dyDescent="0.25">
      <c r="A28" s="8" t="s">
        <v>125</v>
      </c>
      <c r="B28" s="4" t="s">
        <v>36</v>
      </c>
      <c r="C28" s="4">
        <v>0.37694360613208899</v>
      </c>
      <c r="D28" s="5">
        <f t="shared" si="0"/>
        <v>0.63284953660585586</v>
      </c>
      <c r="E28" s="5">
        <v>0.31670131670131602</v>
      </c>
      <c r="F28" s="5">
        <f t="shared" si="1"/>
        <v>0.48373438712864242</v>
      </c>
      <c r="G28" s="5">
        <f t="shared" si="2"/>
        <v>0.51626561287135764</v>
      </c>
      <c r="H28" s="5">
        <f t="shared" si="3"/>
        <v>0.4164834647863368</v>
      </c>
      <c r="I28" s="5">
        <f t="shared" si="4"/>
        <v>0.51626561287135764</v>
      </c>
      <c r="J28" s="5">
        <v>0.75</v>
      </c>
    </row>
    <row r="29" spans="1:10" ht="14.4" x14ac:dyDescent="0.25">
      <c r="A29" s="8" t="s">
        <v>126</v>
      </c>
      <c r="B29" s="4" t="s">
        <v>37</v>
      </c>
      <c r="C29" s="4">
        <v>0.33707779933453902</v>
      </c>
      <c r="D29" s="5">
        <f t="shared" si="0"/>
        <v>0.54314451884792814</v>
      </c>
      <c r="E29" s="5">
        <v>0.36212008895478098</v>
      </c>
      <c r="F29" s="5">
        <f t="shared" si="1"/>
        <v>0.55310770767244666</v>
      </c>
      <c r="G29" s="5">
        <f t="shared" si="2"/>
        <v>0.44689229232755334</v>
      </c>
      <c r="H29" s="5">
        <f t="shared" si="3"/>
        <v>0.40450619064116716</v>
      </c>
      <c r="I29" s="5">
        <f t="shared" si="4"/>
        <v>0.44689229232755345</v>
      </c>
      <c r="J29" s="5">
        <v>0.66666666666666596</v>
      </c>
    </row>
    <row r="30" spans="1:10" ht="14.4" x14ac:dyDescent="0.25">
      <c r="A30" s="8" t="s">
        <v>180</v>
      </c>
      <c r="B30" s="4" t="s">
        <v>38</v>
      </c>
      <c r="C30" s="4">
        <v>0.35598408297251799</v>
      </c>
      <c r="D30" s="5">
        <f t="shared" si="0"/>
        <v>0.58568695422604655</v>
      </c>
      <c r="E30" s="5">
        <v>0.33357041251778002</v>
      </c>
      <c r="F30" s="5">
        <f t="shared" si="1"/>
        <v>0.5095004995376019</v>
      </c>
      <c r="G30" s="5">
        <f t="shared" si="2"/>
        <v>0.4904995004623981</v>
      </c>
      <c r="H30" s="5">
        <f t="shared" si="3"/>
        <v>0.41203495649008903</v>
      </c>
      <c r="I30" s="5">
        <f t="shared" si="4"/>
        <v>0.49049950046239787</v>
      </c>
      <c r="J30" s="5">
        <v>0.96296296296296202</v>
      </c>
    </row>
    <row r="31" spans="1:10" ht="14.4" x14ac:dyDescent="0.25">
      <c r="A31" s="8" t="s">
        <v>127</v>
      </c>
      <c r="B31" s="4" t="s">
        <v>39</v>
      </c>
      <c r="C31" s="4">
        <v>0.361179772637305</v>
      </c>
      <c r="D31" s="5">
        <f t="shared" si="0"/>
        <v>0.59737816208272654</v>
      </c>
      <c r="E31" s="5">
        <v>0.44004144004144002</v>
      </c>
      <c r="F31" s="5">
        <f t="shared" si="1"/>
        <v>0.6721259593322263</v>
      </c>
      <c r="G31" s="5">
        <f t="shared" si="2"/>
        <v>0.3278740406677737</v>
      </c>
      <c r="H31" s="5">
        <f t="shared" si="3"/>
        <v>0.38395774035460684</v>
      </c>
      <c r="I31" s="5">
        <f t="shared" si="4"/>
        <v>0.32787404066777354</v>
      </c>
      <c r="J31" s="5">
        <v>0.987341772151898</v>
      </c>
    </row>
    <row r="32" spans="1:10" ht="14.4" x14ac:dyDescent="0.25">
      <c r="A32" s="8" t="s">
        <v>128</v>
      </c>
      <c r="B32" s="4" t="s">
        <v>40</v>
      </c>
      <c r="C32" s="4">
        <v>0.33884784409765201</v>
      </c>
      <c r="D32" s="5">
        <f t="shared" si="0"/>
        <v>0.54712742825482197</v>
      </c>
      <c r="E32" s="5">
        <v>0.32375111466037598</v>
      </c>
      <c r="F32" s="5">
        <f t="shared" si="1"/>
        <v>0.49450235529065312</v>
      </c>
      <c r="G32" s="5">
        <f t="shared" si="2"/>
        <v>0.50549764470934688</v>
      </c>
      <c r="H32" s="5">
        <f t="shared" si="3"/>
        <v>0.41462437968486143</v>
      </c>
      <c r="I32" s="5">
        <f t="shared" si="4"/>
        <v>0.50549764470934688</v>
      </c>
      <c r="J32" s="5">
        <v>0.66666666666666596</v>
      </c>
    </row>
    <row r="33" spans="1:10" ht="14.4" x14ac:dyDescent="0.25">
      <c r="A33" s="8" t="s">
        <v>129</v>
      </c>
      <c r="B33" s="4" t="s">
        <v>41</v>
      </c>
      <c r="C33" s="4">
        <v>0.34044378010757897</v>
      </c>
      <c r="D33" s="5">
        <f t="shared" si="0"/>
        <v>0.55071856260306284</v>
      </c>
      <c r="E33" s="5">
        <v>0.33713674451773901</v>
      </c>
      <c r="F33" s="5">
        <f t="shared" si="1"/>
        <v>0.51494776904145567</v>
      </c>
      <c r="G33" s="5">
        <f t="shared" si="2"/>
        <v>0.48505223095854433</v>
      </c>
      <c r="H33" s="5">
        <f t="shared" si="3"/>
        <v>0.41109448773814167</v>
      </c>
      <c r="I33" s="5">
        <f t="shared" si="4"/>
        <v>0.48505223095854433</v>
      </c>
      <c r="J33" s="5">
        <v>0.8</v>
      </c>
    </row>
    <row r="34" spans="1:10" ht="14.4" x14ac:dyDescent="0.25">
      <c r="A34" s="8" t="s">
        <v>130</v>
      </c>
      <c r="B34" s="4" t="s">
        <v>42</v>
      </c>
      <c r="C34" s="4">
        <v>0.30350460191038398</v>
      </c>
      <c r="D34" s="5">
        <f t="shared" si="0"/>
        <v>0.46759896959017838</v>
      </c>
      <c r="E34" s="5">
        <v>0.40299239636987899</v>
      </c>
      <c r="F34" s="5">
        <f t="shared" si="1"/>
        <v>0.6155366889722701</v>
      </c>
      <c r="G34" s="5">
        <f t="shared" si="2"/>
        <v>0.3844633110277299</v>
      </c>
      <c r="H34" s="5">
        <f t="shared" si="3"/>
        <v>0.39372785369880448</v>
      </c>
      <c r="I34" s="5">
        <f t="shared" si="4"/>
        <v>0.38446331102773007</v>
      </c>
      <c r="J34" s="5">
        <v>0.66666666666666596</v>
      </c>
    </row>
    <row r="35" spans="1:10" ht="14.4" x14ac:dyDescent="0.25">
      <c r="A35" s="8" t="s">
        <v>131</v>
      </c>
      <c r="B35" s="4" t="s">
        <v>43</v>
      </c>
      <c r="C35" s="4">
        <v>0.42782691230268699</v>
      </c>
      <c r="D35" s="5">
        <f t="shared" si="0"/>
        <v>0.74734584936820259</v>
      </c>
      <c r="E35" s="5">
        <v>0.39009139009138999</v>
      </c>
      <c r="F35" s="5">
        <f t="shared" si="1"/>
        <v>0.59583149661478685</v>
      </c>
      <c r="G35" s="5">
        <f t="shared" si="2"/>
        <v>0.40416850338521315</v>
      </c>
      <c r="H35" s="5">
        <f t="shared" si="3"/>
        <v>0.3971299467383016</v>
      </c>
      <c r="I35" s="5">
        <f t="shared" si="4"/>
        <v>0.40416850338521337</v>
      </c>
      <c r="J35" s="5">
        <v>0.73333333333333295</v>
      </c>
    </row>
    <row r="36" spans="1:10" ht="14.4" x14ac:dyDescent="0.25">
      <c r="A36" s="8" t="s">
        <v>132</v>
      </c>
      <c r="B36" s="4" t="s">
        <v>44</v>
      </c>
      <c r="C36" s="4">
        <v>0.54010894297868195</v>
      </c>
      <c r="D36" s="5">
        <f t="shared" si="0"/>
        <v>1</v>
      </c>
      <c r="E36" s="5">
        <v>4.0540540540540501E-2</v>
      </c>
      <c r="F36" s="5">
        <f t="shared" si="1"/>
        <v>6.1922235551478376E-2</v>
      </c>
      <c r="G36" s="5">
        <f t="shared" si="2"/>
        <v>0.93807776444852164</v>
      </c>
      <c r="H36" s="5">
        <f t="shared" si="3"/>
        <v>0.48930915249453105</v>
      </c>
      <c r="I36" s="5">
        <f t="shared" si="4"/>
        <v>0.93807776444852153</v>
      </c>
      <c r="J36" s="5">
        <v>0.96399176954732502</v>
      </c>
    </row>
    <row r="37" spans="1:10" ht="14.4" x14ac:dyDescent="0.25">
      <c r="A37" s="8" t="s">
        <v>2</v>
      </c>
      <c r="B37" s="4" t="s">
        <v>45</v>
      </c>
      <c r="C37" s="4">
        <v>0.34039018730994902</v>
      </c>
      <c r="D37" s="5">
        <f t="shared" si="0"/>
        <v>0.55059796946199069</v>
      </c>
      <c r="E37" s="5">
        <v>0.38352177854109998</v>
      </c>
      <c r="F37" s="5">
        <f t="shared" si="1"/>
        <v>0.58579697244528384</v>
      </c>
      <c r="G37" s="5">
        <f t="shared" si="2"/>
        <v>0.41420302755471616</v>
      </c>
      <c r="H37" s="5">
        <f t="shared" si="3"/>
        <v>0.3988624030479081</v>
      </c>
      <c r="I37" s="5">
        <f t="shared" si="4"/>
        <v>0.41420302755471633</v>
      </c>
      <c r="J37" s="5">
        <v>0.66666666666666596</v>
      </c>
    </row>
    <row r="38" spans="1:10" ht="14.4" x14ac:dyDescent="0.25">
      <c r="A38" s="8" t="s">
        <v>133</v>
      </c>
      <c r="B38" s="4" t="s">
        <v>46</v>
      </c>
      <c r="C38" s="4">
        <v>0.376346914819783</v>
      </c>
      <c r="D38" s="5">
        <f t="shared" si="0"/>
        <v>0.63150687709219711</v>
      </c>
      <c r="E38" s="5">
        <v>0.34616253331526398</v>
      </c>
      <c r="F38" s="5">
        <f t="shared" si="1"/>
        <v>0.52873389553375882</v>
      </c>
      <c r="G38" s="5">
        <f t="shared" si="2"/>
        <v>0.47126610446624118</v>
      </c>
      <c r="H38" s="5">
        <f t="shared" si="3"/>
        <v>0.4087143188907526</v>
      </c>
      <c r="I38" s="5">
        <f t="shared" si="4"/>
        <v>0.47126610446624134</v>
      </c>
      <c r="J38" s="5">
        <v>0.90909090909090895</v>
      </c>
    </row>
    <row r="39" spans="1:10" ht="14.4" x14ac:dyDescent="0.25">
      <c r="A39" s="8" t="s">
        <v>134</v>
      </c>
      <c r="B39" s="4" t="s">
        <v>47</v>
      </c>
      <c r="C39" s="4">
        <v>0.34859928477497398</v>
      </c>
      <c r="D39" s="5">
        <f t="shared" si="0"/>
        <v>0.56906987039745316</v>
      </c>
      <c r="E39" s="5">
        <v>0</v>
      </c>
      <c r="F39" s="5">
        <f t="shared" si="1"/>
        <v>0</v>
      </c>
      <c r="G39" s="5">
        <f t="shared" si="2"/>
        <v>1</v>
      </c>
      <c r="H39" s="5">
        <f t="shared" si="3"/>
        <v>0.5</v>
      </c>
      <c r="I39" s="5">
        <f t="shared" si="4"/>
        <v>1</v>
      </c>
      <c r="J39" s="5">
        <v>0.66666666666666596</v>
      </c>
    </row>
    <row r="40" spans="1:10" ht="14.4" x14ac:dyDescent="0.25">
      <c r="A40" s="8" t="s">
        <v>135</v>
      </c>
      <c r="B40" s="4" t="s">
        <v>48</v>
      </c>
      <c r="C40" s="4">
        <v>0.400769128051843</v>
      </c>
      <c r="D40" s="5">
        <f t="shared" si="0"/>
        <v>0.68646111601668036</v>
      </c>
      <c r="E40" s="5">
        <v>0.43148242485990801</v>
      </c>
      <c r="F40" s="5">
        <f t="shared" si="1"/>
        <v>0.65905278992962513</v>
      </c>
      <c r="G40" s="5">
        <f t="shared" si="2"/>
        <v>0.34094721007037487</v>
      </c>
      <c r="H40" s="5">
        <f t="shared" si="3"/>
        <v>0.38621481746514141</v>
      </c>
      <c r="I40" s="5">
        <f t="shared" si="4"/>
        <v>0.34094721007037482</v>
      </c>
      <c r="J40" s="5">
        <v>0.74809160305343503</v>
      </c>
    </row>
    <row r="41" spans="1:10" ht="14.4" x14ac:dyDescent="0.25">
      <c r="A41" s="8" t="s">
        <v>181</v>
      </c>
      <c r="B41" s="4" t="s">
        <v>49</v>
      </c>
      <c r="C41" s="4">
        <v>0.19076962170297501</v>
      </c>
      <c r="D41" s="5">
        <f t="shared" si="0"/>
        <v>0.21392560351981535</v>
      </c>
      <c r="E41" s="5">
        <v>0.65470085470085404</v>
      </c>
      <c r="F41" s="5">
        <f t="shared" si="1"/>
        <v>1</v>
      </c>
      <c r="G41" s="5">
        <f t="shared" si="2"/>
        <v>0</v>
      </c>
      <c r="H41" s="5">
        <f t="shared" si="3"/>
        <v>0.32735042735042702</v>
      </c>
      <c r="I41" s="5">
        <f t="shared" si="4"/>
        <v>0</v>
      </c>
      <c r="J41" s="5">
        <v>0.66666666666666596</v>
      </c>
    </row>
    <row r="42" spans="1:10" ht="14.4" x14ac:dyDescent="0.25">
      <c r="A42" s="8" t="s">
        <v>182</v>
      </c>
      <c r="B42" s="4" t="s">
        <v>50</v>
      </c>
      <c r="C42" s="4">
        <v>0.30801451924587903</v>
      </c>
      <c r="D42" s="5">
        <f t="shared" si="0"/>
        <v>0.47774707010954964</v>
      </c>
      <c r="E42" s="5">
        <v>0.35521689658526401</v>
      </c>
      <c r="F42" s="5">
        <f t="shared" si="1"/>
        <v>0.54256366710804083</v>
      </c>
      <c r="G42" s="5">
        <f t="shared" si="2"/>
        <v>0.45743633289195917</v>
      </c>
      <c r="H42" s="5">
        <f t="shared" si="3"/>
        <v>0.40632661473861159</v>
      </c>
      <c r="I42" s="5">
        <f t="shared" si="4"/>
        <v>0.45743633289195929</v>
      </c>
      <c r="J42" s="5">
        <v>0.8</v>
      </c>
    </row>
    <row r="43" spans="1:10" ht="14.4" x14ac:dyDescent="0.25">
      <c r="A43" s="8" t="s">
        <v>3</v>
      </c>
      <c r="B43" s="4" t="s">
        <v>51</v>
      </c>
      <c r="C43" s="4">
        <v>0.4179266219128</v>
      </c>
      <c r="D43" s="5">
        <f t="shared" si="0"/>
        <v>0.72506846941340808</v>
      </c>
      <c r="E43" s="5">
        <v>0.28650616364689302</v>
      </c>
      <c r="F43" s="5">
        <f t="shared" si="1"/>
        <v>0.4376138530899023</v>
      </c>
      <c r="G43" s="5">
        <f t="shared" si="2"/>
        <v>0.5623861469100977</v>
      </c>
      <c r="H43" s="5">
        <f t="shared" si="3"/>
        <v>0.42444615527849539</v>
      </c>
      <c r="I43" s="5">
        <f t="shared" si="4"/>
        <v>0.56238614691009792</v>
      </c>
      <c r="J43" s="5">
        <v>0.98630136986301298</v>
      </c>
    </row>
    <row r="44" spans="1:10" ht="14.4" x14ac:dyDescent="0.25">
      <c r="A44" s="8" t="s">
        <v>136</v>
      </c>
      <c r="B44" s="4" t="s">
        <v>52</v>
      </c>
      <c r="C44" s="4">
        <v>0.35666128485099002</v>
      </c>
      <c r="D44" s="5">
        <f t="shared" si="0"/>
        <v>0.58721077655435239</v>
      </c>
      <c r="E44" s="5">
        <v>0.35129647564889699</v>
      </c>
      <c r="F44" s="5">
        <f t="shared" si="1"/>
        <v>0.53657555680053515</v>
      </c>
      <c r="G44" s="5">
        <f t="shared" si="2"/>
        <v>0.46342444319946485</v>
      </c>
      <c r="H44" s="5">
        <f t="shared" si="3"/>
        <v>0.40736045942418092</v>
      </c>
      <c r="I44" s="5">
        <f t="shared" si="4"/>
        <v>0.4634244431994648</v>
      </c>
      <c r="J44" s="5">
        <v>0.86956521739130399</v>
      </c>
    </row>
    <row r="45" spans="1:10" ht="14.4" x14ac:dyDescent="0.25">
      <c r="A45" s="8" t="s">
        <v>137</v>
      </c>
      <c r="B45" s="4" t="s">
        <v>53</v>
      </c>
      <c r="C45" s="4">
        <v>0.35544624955531501</v>
      </c>
      <c r="D45" s="5">
        <f t="shared" si="0"/>
        <v>0.58447673524098964</v>
      </c>
      <c r="E45" s="5">
        <v>0.35944700460829399</v>
      </c>
      <c r="F45" s="5">
        <f t="shared" si="1"/>
        <v>0.54902479816149397</v>
      </c>
      <c r="G45" s="5">
        <f t="shared" si="2"/>
        <v>0.45097520183850603</v>
      </c>
      <c r="H45" s="5">
        <f t="shared" si="3"/>
        <v>0.40521110322340004</v>
      </c>
      <c r="I45" s="5">
        <f t="shared" si="4"/>
        <v>0.4509752018385062</v>
      </c>
      <c r="J45" s="5">
        <v>0.93258426966292096</v>
      </c>
    </row>
    <row r="46" spans="1:10" ht="14.4" x14ac:dyDescent="0.25">
      <c r="A46" s="8" t="s">
        <v>183</v>
      </c>
      <c r="B46" s="4" t="s">
        <v>54</v>
      </c>
      <c r="C46" s="4">
        <v>0.37415891734925599</v>
      </c>
      <c r="D46" s="5">
        <f t="shared" si="0"/>
        <v>0.6265835012040667</v>
      </c>
      <c r="E46" s="5">
        <v>0.30108127637327903</v>
      </c>
      <c r="F46" s="5">
        <f t="shared" si="1"/>
        <v>0.4598761009879071</v>
      </c>
      <c r="G46" s="5">
        <f t="shared" si="2"/>
        <v>0.5401238990120929</v>
      </c>
      <c r="H46" s="5">
        <f t="shared" si="3"/>
        <v>0.42060258769268599</v>
      </c>
      <c r="I46" s="5">
        <f t="shared" si="4"/>
        <v>0.54012389901209301</v>
      </c>
      <c r="J46" s="5">
        <v>0.9</v>
      </c>
    </row>
    <row r="47" spans="1:10" ht="14.4" x14ac:dyDescent="0.25">
      <c r="A47" s="8" t="s">
        <v>138</v>
      </c>
      <c r="B47" s="4" t="s">
        <v>55</v>
      </c>
      <c r="C47" s="4">
        <v>0.377665040410681</v>
      </c>
      <c r="D47" s="5">
        <f t="shared" si="0"/>
        <v>0.63447288954841452</v>
      </c>
      <c r="E47" s="5">
        <v>0.38253241800152499</v>
      </c>
      <c r="F47" s="5">
        <f t="shared" si="1"/>
        <v>0.58428580817465359</v>
      </c>
      <c r="G47" s="5">
        <f t="shared" si="2"/>
        <v>0.41571419182534641</v>
      </c>
      <c r="H47" s="5">
        <f t="shared" si="3"/>
        <v>0.39912330491343573</v>
      </c>
      <c r="I47" s="5">
        <f t="shared" si="4"/>
        <v>0.41571419182534669</v>
      </c>
      <c r="J47" s="5">
        <v>0.90160642570281102</v>
      </c>
    </row>
    <row r="48" spans="1:10" ht="14.4" x14ac:dyDescent="0.25">
      <c r="A48" s="8" t="s">
        <v>139</v>
      </c>
      <c r="B48" s="4" t="s">
        <v>56</v>
      </c>
      <c r="C48" s="4">
        <v>0.31359406810045398</v>
      </c>
      <c r="D48" s="5">
        <f t="shared" si="0"/>
        <v>0.49030202808701195</v>
      </c>
      <c r="E48" s="5">
        <v>0.31514256014958097</v>
      </c>
      <c r="F48" s="5">
        <f t="shared" si="1"/>
        <v>0.48135351876633176</v>
      </c>
      <c r="G48" s="5">
        <f t="shared" si="2"/>
        <v>0.51864648123366819</v>
      </c>
      <c r="H48" s="5">
        <f t="shared" si="3"/>
        <v>0.41689452069162458</v>
      </c>
      <c r="I48" s="5">
        <f t="shared" si="4"/>
        <v>0.51864648123366808</v>
      </c>
      <c r="J48" s="5">
        <v>0.88888888888888795</v>
      </c>
    </row>
    <row r="49" spans="1:10" ht="14.4" x14ac:dyDescent="0.25">
      <c r="A49" s="8" t="s">
        <v>140</v>
      </c>
      <c r="B49" s="4" t="s">
        <v>57</v>
      </c>
      <c r="C49" s="4">
        <v>0.33985365661372502</v>
      </c>
      <c r="D49" s="5">
        <f t="shared" si="0"/>
        <v>0.54939068182632678</v>
      </c>
      <c r="E49" s="5">
        <v>0.38542665388302899</v>
      </c>
      <c r="F49" s="5">
        <f t="shared" si="1"/>
        <v>0.58870650788922241</v>
      </c>
      <c r="G49" s="5">
        <f t="shared" si="2"/>
        <v>0.41129349211077759</v>
      </c>
      <c r="H49" s="5">
        <f t="shared" si="3"/>
        <v>0.39836007299690329</v>
      </c>
      <c r="I49" s="5">
        <f t="shared" si="4"/>
        <v>0.41129349211077759</v>
      </c>
      <c r="J49" s="5">
        <v>0.66666666666666596</v>
      </c>
    </row>
    <row r="50" spans="1:10" ht="14.4" x14ac:dyDescent="0.25">
      <c r="A50" s="8" t="s">
        <v>141</v>
      </c>
      <c r="B50" s="4" t="s">
        <v>58</v>
      </c>
      <c r="C50" s="4">
        <v>0.30053255379495297</v>
      </c>
      <c r="D50" s="5">
        <f t="shared" si="0"/>
        <v>0.46091134301520237</v>
      </c>
      <c r="E50" s="5">
        <v>0.29810309451028</v>
      </c>
      <c r="F50" s="5">
        <f t="shared" si="1"/>
        <v>0.45532718090995816</v>
      </c>
      <c r="G50" s="5">
        <f t="shared" si="2"/>
        <v>0.54467281909004184</v>
      </c>
      <c r="H50" s="5">
        <f t="shared" si="3"/>
        <v>0.42138795680016095</v>
      </c>
      <c r="I50" s="5">
        <f t="shared" si="4"/>
        <v>0.54467281909004195</v>
      </c>
      <c r="J50" s="5">
        <v>0.66666666666666596</v>
      </c>
    </row>
    <row r="51" spans="1:10" ht="14.4" x14ac:dyDescent="0.25">
      <c r="A51" s="8" t="s">
        <v>142</v>
      </c>
      <c r="B51" s="4" t="s">
        <v>59</v>
      </c>
      <c r="C51" s="4">
        <v>0.40168751241603901</v>
      </c>
      <c r="D51" s="5">
        <f t="shared" si="0"/>
        <v>0.68852764099928443</v>
      </c>
      <c r="E51" s="5">
        <v>0.28016359918200401</v>
      </c>
      <c r="F51" s="5">
        <f t="shared" si="1"/>
        <v>0.42792612407695174</v>
      </c>
      <c r="G51" s="5">
        <f t="shared" si="2"/>
        <v>0.57207387592304826</v>
      </c>
      <c r="H51" s="5">
        <f t="shared" si="3"/>
        <v>0.42611873755252616</v>
      </c>
      <c r="I51" s="5">
        <f t="shared" si="4"/>
        <v>0.57207387592304837</v>
      </c>
      <c r="J51" s="5">
        <v>0.8</v>
      </c>
    </row>
    <row r="52" spans="1:10" ht="14.4" x14ac:dyDescent="0.25">
      <c r="A52" s="8" t="s">
        <v>143</v>
      </c>
      <c r="B52" s="4" t="s">
        <v>60</v>
      </c>
      <c r="C52" s="4">
        <v>0.36530916162085397</v>
      </c>
      <c r="D52" s="5">
        <f t="shared" si="0"/>
        <v>0.60667000744734656</v>
      </c>
      <c r="E52" s="5">
        <v>0.302215457466599</v>
      </c>
      <c r="F52" s="5">
        <f t="shared" si="1"/>
        <v>0.46160846636543235</v>
      </c>
      <c r="G52" s="5">
        <f t="shared" si="2"/>
        <v>0.53839153363456771</v>
      </c>
      <c r="H52" s="5">
        <f t="shared" si="3"/>
        <v>0.42030349555058333</v>
      </c>
      <c r="I52" s="5">
        <f t="shared" si="4"/>
        <v>0.53839153363456771</v>
      </c>
      <c r="J52" s="5">
        <v>0.92857142857142805</v>
      </c>
    </row>
    <row r="53" spans="1:10" ht="14.4" x14ac:dyDescent="0.25">
      <c r="A53" s="8" t="s">
        <v>144</v>
      </c>
      <c r="B53" s="4" t="s">
        <v>61</v>
      </c>
      <c r="C53" s="4">
        <v>0.309428350577026</v>
      </c>
      <c r="D53" s="5">
        <f t="shared" si="0"/>
        <v>0.48092843717208827</v>
      </c>
      <c r="E53" s="5">
        <v>0.33845387008911898</v>
      </c>
      <c r="F53" s="5">
        <f t="shared" si="1"/>
        <v>0.51695956658520836</v>
      </c>
      <c r="G53" s="5">
        <f t="shared" si="2"/>
        <v>0.48304043341479164</v>
      </c>
      <c r="H53" s="5">
        <f t="shared" si="3"/>
        <v>0.41074715175195531</v>
      </c>
      <c r="I53" s="5">
        <f t="shared" si="4"/>
        <v>0.48304043341479164</v>
      </c>
      <c r="J53" s="5">
        <v>0.66666666666666596</v>
      </c>
    </row>
    <row r="54" spans="1:10" ht="14.4" x14ac:dyDescent="0.25">
      <c r="A54" s="8" t="s">
        <v>145</v>
      </c>
      <c r="B54" s="4" t="s">
        <v>62</v>
      </c>
      <c r="C54" s="4">
        <v>0.302966504671277</v>
      </c>
      <c r="D54" s="5">
        <f t="shared" si="0"/>
        <v>0.46638815695982799</v>
      </c>
      <c r="E54" s="5">
        <v>0.19047619047618999</v>
      </c>
      <c r="F54" s="5">
        <f t="shared" si="1"/>
        <v>0.29093621782916779</v>
      </c>
      <c r="G54" s="5">
        <f t="shared" si="2"/>
        <v>0.70906378217083221</v>
      </c>
      <c r="H54" s="5">
        <f t="shared" si="3"/>
        <v>0.44976998632351112</v>
      </c>
      <c r="I54" s="5">
        <f t="shared" si="4"/>
        <v>0.70906378217083232</v>
      </c>
      <c r="J54" s="5">
        <v>8.7427905387753399E-2</v>
      </c>
    </row>
    <row r="55" spans="1:10" ht="14.4" x14ac:dyDescent="0.25">
      <c r="A55" s="8" t="s">
        <v>146</v>
      </c>
      <c r="B55" s="4" t="s">
        <v>63</v>
      </c>
      <c r="C55" s="4">
        <v>0.39992504766688702</v>
      </c>
      <c r="D55" s="5">
        <f t="shared" si="0"/>
        <v>0.68456178794573186</v>
      </c>
      <c r="E55" s="5">
        <v>0.41293532338308397</v>
      </c>
      <c r="F55" s="5">
        <f t="shared" si="1"/>
        <v>0.63072366626398002</v>
      </c>
      <c r="G55" s="5">
        <f t="shared" si="2"/>
        <v>0.36927633373601998</v>
      </c>
      <c r="H55" s="5">
        <f t="shared" si="3"/>
        <v>0.391105828559552</v>
      </c>
      <c r="I55" s="5">
        <f t="shared" si="4"/>
        <v>0.36927633373602026</v>
      </c>
      <c r="J55" s="5">
        <v>0.91503267973856195</v>
      </c>
    </row>
    <row r="56" spans="1:10" ht="14.4" x14ac:dyDescent="0.25">
      <c r="A56" s="8" t="s">
        <v>147</v>
      </c>
      <c r="B56" s="4" t="s">
        <v>64</v>
      </c>
      <c r="C56" s="4">
        <v>0.37785947617087901</v>
      </c>
      <c r="D56" s="5">
        <f t="shared" si="0"/>
        <v>0.63491040391780651</v>
      </c>
      <c r="E56" s="5">
        <v>0.39130434782608597</v>
      </c>
      <c r="F56" s="5">
        <f t="shared" si="1"/>
        <v>0.59768418662731204</v>
      </c>
      <c r="G56" s="5">
        <f t="shared" si="2"/>
        <v>0.40231581337268796</v>
      </c>
      <c r="H56" s="5">
        <f t="shared" si="3"/>
        <v>0.39681008059938694</v>
      </c>
      <c r="I56" s="5">
        <f t="shared" si="4"/>
        <v>0.40231581337268785</v>
      </c>
      <c r="J56" s="5">
        <v>0.95454545454545403</v>
      </c>
    </row>
    <row r="57" spans="1:10" ht="14.4" x14ac:dyDescent="0.25">
      <c r="A57" s="8" t="s">
        <v>148</v>
      </c>
      <c r="B57" s="4" t="s">
        <v>65</v>
      </c>
      <c r="C57" s="4">
        <v>0.38399659295025701</v>
      </c>
      <c r="D57" s="5">
        <f t="shared" si="0"/>
        <v>0.64871998696405797</v>
      </c>
      <c r="E57" s="5">
        <v>0.35653006428976303</v>
      </c>
      <c r="F57" s="5">
        <f t="shared" si="1"/>
        <v>0.54456941934598324</v>
      </c>
      <c r="G57" s="5">
        <f t="shared" si="2"/>
        <v>0.45543058065401676</v>
      </c>
      <c r="H57" s="5">
        <f t="shared" si="3"/>
        <v>0.40598032247188987</v>
      </c>
      <c r="I57" s="5">
        <f t="shared" si="4"/>
        <v>0.45543058065401659</v>
      </c>
      <c r="J57" s="5">
        <v>0.921875</v>
      </c>
    </row>
    <row r="58" spans="1:10" ht="14.4" x14ac:dyDescent="0.25">
      <c r="A58" s="8" t="s">
        <v>149</v>
      </c>
      <c r="B58" s="4" t="s">
        <v>66</v>
      </c>
      <c r="C58" s="4">
        <v>0.33597206578116101</v>
      </c>
      <c r="D58" s="5">
        <f t="shared" si="0"/>
        <v>0.54065642551659221</v>
      </c>
      <c r="E58" s="5">
        <v>0.36979897148200003</v>
      </c>
      <c r="F58" s="5">
        <f t="shared" si="1"/>
        <v>0.56483654913047054</v>
      </c>
      <c r="G58" s="5">
        <f t="shared" si="2"/>
        <v>0.43516345086952946</v>
      </c>
      <c r="H58" s="5">
        <f t="shared" si="3"/>
        <v>0.40248121117576474</v>
      </c>
      <c r="I58" s="5">
        <f t="shared" si="4"/>
        <v>0.43516345086952951</v>
      </c>
      <c r="J58" s="5">
        <v>0.66666666666666596</v>
      </c>
    </row>
    <row r="59" spans="1:10" ht="14.4" x14ac:dyDescent="0.25">
      <c r="A59" s="8" t="s">
        <v>150</v>
      </c>
      <c r="B59" s="4" t="s">
        <v>67</v>
      </c>
      <c r="C59" s="4">
        <v>0.36470501561183999</v>
      </c>
      <c r="D59" s="5">
        <f t="shared" si="0"/>
        <v>0.60531057356602058</v>
      </c>
      <c r="E59" s="5">
        <v>0.31231279440264198</v>
      </c>
      <c r="F59" s="5">
        <f t="shared" si="1"/>
        <v>0.47703129171160769</v>
      </c>
      <c r="G59" s="5">
        <f t="shared" si="2"/>
        <v>0.52296870828839226</v>
      </c>
      <c r="H59" s="5">
        <f t="shared" si="3"/>
        <v>0.41764075134551715</v>
      </c>
      <c r="I59" s="5">
        <f t="shared" si="4"/>
        <v>0.52296870828839226</v>
      </c>
      <c r="J59" s="5">
        <v>0.93627450980392102</v>
      </c>
    </row>
    <row r="60" spans="1:10" ht="14.4" x14ac:dyDescent="0.25">
      <c r="A60" s="8" t="s">
        <v>151</v>
      </c>
      <c r="B60" s="4" t="s">
        <v>68</v>
      </c>
      <c r="C60" s="4">
        <v>0.29444379845073299</v>
      </c>
      <c r="D60" s="5">
        <f t="shared" si="0"/>
        <v>0.44721058163212912</v>
      </c>
      <c r="E60" s="5">
        <v>0.275178687459389</v>
      </c>
      <c r="F60" s="5">
        <f t="shared" si="1"/>
        <v>0.42031209442230477</v>
      </c>
      <c r="G60" s="5">
        <f t="shared" si="2"/>
        <v>0.57968790557769523</v>
      </c>
      <c r="H60" s="5">
        <f t="shared" si="3"/>
        <v>0.42743329651854212</v>
      </c>
      <c r="I60" s="5">
        <f t="shared" si="4"/>
        <v>0.57968790557769523</v>
      </c>
      <c r="J60" s="5">
        <v>0.83333333333333304</v>
      </c>
    </row>
    <row r="61" spans="1:10" ht="14.4" x14ac:dyDescent="0.25">
      <c r="A61" s="8" t="s">
        <v>152</v>
      </c>
      <c r="B61" s="4" t="s">
        <v>69</v>
      </c>
      <c r="C61" s="4">
        <v>0.355668423517147</v>
      </c>
      <c r="D61" s="5">
        <f t="shared" si="0"/>
        <v>0.58497666540150794</v>
      </c>
      <c r="E61" s="5">
        <v>0.35554603797507101</v>
      </c>
      <c r="F61" s="5">
        <f t="shared" si="1"/>
        <v>0.54306640265121864</v>
      </c>
      <c r="G61" s="5">
        <f t="shared" si="2"/>
        <v>0.45693359734878136</v>
      </c>
      <c r="H61" s="5">
        <f t="shared" si="3"/>
        <v>0.40623981766192618</v>
      </c>
      <c r="I61" s="5">
        <f t="shared" si="4"/>
        <v>0.45693359734878142</v>
      </c>
      <c r="J61" s="5">
        <v>0.88167938931297696</v>
      </c>
    </row>
    <row r="62" spans="1:10" ht="14.4" x14ac:dyDescent="0.25">
      <c r="A62" s="8" t="s">
        <v>4</v>
      </c>
      <c r="B62" s="4" t="s">
        <v>70</v>
      </c>
      <c r="C62" s="4">
        <v>0.37554796040158001</v>
      </c>
      <c r="D62" s="5">
        <f t="shared" si="0"/>
        <v>0.62970909031626066</v>
      </c>
      <c r="E62" s="5">
        <v>0.28917260819101298</v>
      </c>
      <c r="F62" s="5">
        <f t="shared" si="1"/>
        <v>0.44168662086616911</v>
      </c>
      <c r="G62" s="5">
        <f t="shared" si="2"/>
        <v>0.55831337913383083</v>
      </c>
      <c r="H62" s="5">
        <f t="shared" si="3"/>
        <v>0.42374299366242191</v>
      </c>
      <c r="I62" s="5">
        <f t="shared" si="4"/>
        <v>0.55831337913383072</v>
      </c>
      <c r="J62" s="5">
        <v>0.66666666666666596</v>
      </c>
    </row>
    <row r="63" spans="1:10" ht="14.4" x14ac:dyDescent="0.25">
      <c r="A63" s="8" t="s">
        <v>153</v>
      </c>
      <c r="B63" s="4" t="s">
        <v>71</v>
      </c>
      <c r="C63" s="4">
        <v>0.31895216261009901</v>
      </c>
      <c r="D63" s="5">
        <f t="shared" si="0"/>
        <v>0.50235867516748445</v>
      </c>
      <c r="E63" s="5">
        <v>0.30305602716468499</v>
      </c>
      <c r="F63" s="5">
        <f t="shared" si="1"/>
        <v>0.46289236525154281</v>
      </c>
      <c r="G63" s="5">
        <f t="shared" si="2"/>
        <v>0.53710763474845713</v>
      </c>
      <c r="H63" s="5">
        <f t="shared" si="3"/>
        <v>0.42008183095657103</v>
      </c>
      <c r="I63" s="5">
        <f t="shared" si="4"/>
        <v>0.53710763474845691</v>
      </c>
      <c r="J63" s="5">
        <v>0.88888888888888795</v>
      </c>
    </row>
    <row r="64" spans="1:10" ht="14.4" x14ac:dyDescent="0.25">
      <c r="A64" s="8" t="s">
        <v>154</v>
      </c>
      <c r="B64" s="4" t="s">
        <v>72</v>
      </c>
      <c r="C64" s="4">
        <v>0.27089735008737198</v>
      </c>
      <c r="D64" s="5">
        <f t="shared" si="0"/>
        <v>0.3942269663926844</v>
      </c>
      <c r="E64" s="5">
        <v>0.49831649831649799</v>
      </c>
      <c r="F64" s="5">
        <f t="shared" si="1"/>
        <v>0.76113616583590504</v>
      </c>
      <c r="G64" s="5">
        <f t="shared" si="2"/>
        <v>0.23886383416409496</v>
      </c>
      <c r="H64" s="5">
        <f t="shared" si="3"/>
        <v>0.3685901662402965</v>
      </c>
      <c r="I64" s="5">
        <f t="shared" si="4"/>
        <v>0.23886383416409507</v>
      </c>
      <c r="J64" s="5">
        <v>0.66666666666666596</v>
      </c>
    </row>
    <row r="65" spans="1:10" ht="14.4" x14ac:dyDescent="0.25">
      <c r="A65" s="8" t="s">
        <v>184</v>
      </c>
      <c r="B65" s="4" t="s">
        <v>73</v>
      </c>
      <c r="C65" s="4">
        <v>0.26537123530976497</v>
      </c>
      <c r="D65" s="5">
        <f t="shared" si="0"/>
        <v>0.38179224440712434</v>
      </c>
      <c r="E65" s="5">
        <v>0.37398833051006902</v>
      </c>
      <c r="F65" s="5">
        <f t="shared" si="1"/>
        <v>0.57123543955193368</v>
      </c>
      <c r="G65" s="5">
        <f t="shared" si="2"/>
        <v>0.42876456044806632</v>
      </c>
      <c r="H65" s="5">
        <f t="shared" si="3"/>
        <v>0.4013764454790677</v>
      </c>
      <c r="I65" s="5">
        <f t="shared" si="4"/>
        <v>0.42876456044806649</v>
      </c>
      <c r="J65" s="5">
        <v>0.66666666666666596</v>
      </c>
    </row>
    <row r="66" spans="1:10" ht="14.4" x14ac:dyDescent="0.25">
      <c r="A66" s="8" t="s">
        <v>108</v>
      </c>
      <c r="B66" s="4" t="s">
        <v>74</v>
      </c>
      <c r="C66" s="4">
        <v>0.23552428940262099</v>
      </c>
      <c r="D66" s="5">
        <f t="shared" si="0"/>
        <v>0.31463141090845781</v>
      </c>
      <c r="E66" s="5">
        <v>0.55663234403391804</v>
      </c>
      <c r="F66" s="5">
        <f t="shared" si="1"/>
        <v>0.85020867169671643</v>
      </c>
      <c r="G66" s="5">
        <f t="shared" si="2"/>
        <v>0.14979132830328357</v>
      </c>
      <c r="H66" s="5">
        <f t="shared" si="3"/>
        <v>0.3532118361686008</v>
      </c>
      <c r="I66" s="5">
        <f t="shared" si="4"/>
        <v>0.14979132830328348</v>
      </c>
      <c r="J66" s="5">
        <v>0.66666666666666596</v>
      </c>
    </row>
    <row r="67" spans="1:10" ht="14.4" x14ac:dyDescent="0.25">
      <c r="A67" s="8" t="s">
        <v>155</v>
      </c>
      <c r="B67" s="4" t="s">
        <v>75</v>
      </c>
      <c r="C67" s="4">
        <v>0.39476101178829698</v>
      </c>
      <c r="D67" s="5">
        <f t="shared" ref="D67:D95" si="5">(C67-$C$99)/($C$101-$C$99)</f>
        <v>0.6729418066283096</v>
      </c>
      <c r="E67" s="5">
        <v>0.34525099313831698</v>
      </c>
      <c r="F67" s="5">
        <f t="shared" ref="F67:F95" si="6">(E67-$E$99)/($E$101-$E$99)</f>
        <v>0.52734159526348734</v>
      </c>
      <c r="G67" s="5">
        <f t="shared" ref="G67:G95" si="7">1-F67</f>
        <v>0.47265840473651266</v>
      </c>
      <c r="H67" s="5">
        <f t="shared" ref="H67:H95" si="8">(E67+G67)/2</f>
        <v>0.40895469893741482</v>
      </c>
      <c r="I67" s="5">
        <f t="shared" ref="I67:I95" si="9">(H67-$H$99)/($H$101-$H$99)</f>
        <v>0.47265840473651261</v>
      </c>
      <c r="J67" s="5">
        <v>0.66666666666666596</v>
      </c>
    </row>
    <row r="68" spans="1:10" ht="14.4" x14ac:dyDescent="0.25">
      <c r="A68" s="8" t="s">
        <v>185</v>
      </c>
      <c r="B68" s="4" t="s">
        <v>76</v>
      </c>
      <c r="C68" s="4">
        <v>9.5698944586738305E-2</v>
      </c>
      <c r="D68" s="5">
        <f t="shared" si="5"/>
        <v>0</v>
      </c>
      <c r="E68" s="5">
        <v>4.7120418848167499E-2</v>
      </c>
      <c r="F68" s="5">
        <f t="shared" si="6"/>
        <v>7.1972441321613609E-2</v>
      </c>
      <c r="G68" s="5">
        <f t="shared" si="7"/>
        <v>0.92802755867838638</v>
      </c>
      <c r="H68" s="5">
        <f t="shared" si="8"/>
        <v>0.48757398876327696</v>
      </c>
      <c r="I68" s="5">
        <f t="shared" si="9"/>
        <v>0.92802755867838649</v>
      </c>
      <c r="J68" s="5">
        <v>7.0127244715798398E-2</v>
      </c>
    </row>
    <row r="69" spans="1:10" ht="14.4" x14ac:dyDescent="0.25">
      <c r="A69" s="8" t="s">
        <v>5</v>
      </c>
      <c r="B69" s="4" t="s">
        <v>77</v>
      </c>
      <c r="C69" s="4">
        <v>0.20264863947141901</v>
      </c>
      <c r="D69" s="5">
        <f t="shared" si="5"/>
        <v>0.24065546515980346</v>
      </c>
      <c r="E69" s="5">
        <v>8.6956521739130405E-2</v>
      </c>
      <c r="F69" s="5">
        <f t="shared" si="6"/>
        <v>0.13281870813940297</v>
      </c>
      <c r="G69" s="5">
        <f t="shared" si="7"/>
        <v>0.867181291860597</v>
      </c>
      <c r="H69" s="5">
        <f t="shared" si="8"/>
        <v>0.47706890679986369</v>
      </c>
      <c r="I69" s="5">
        <f t="shared" si="9"/>
        <v>0.86718129186059689</v>
      </c>
      <c r="J69" s="5">
        <v>0.17469387755102</v>
      </c>
    </row>
    <row r="70" spans="1:10" ht="14.4" x14ac:dyDescent="0.25">
      <c r="A70" s="8" t="s">
        <v>156</v>
      </c>
      <c r="B70" s="4" t="s">
        <v>78</v>
      </c>
      <c r="C70" s="4">
        <v>0.34206032297948002</v>
      </c>
      <c r="D70" s="5">
        <f t="shared" si="5"/>
        <v>0.55435606598451326</v>
      </c>
      <c r="E70" s="5">
        <v>0.31630222991989598</v>
      </c>
      <c r="F70" s="5">
        <f t="shared" si="6"/>
        <v>0.48312481593508966</v>
      </c>
      <c r="G70" s="5">
        <f t="shared" si="7"/>
        <v>0.5168751840649104</v>
      </c>
      <c r="H70" s="5">
        <f t="shared" si="8"/>
        <v>0.41658870699240319</v>
      </c>
      <c r="I70" s="5">
        <f t="shared" si="9"/>
        <v>0.51687518406491051</v>
      </c>
      <c r="J70" s="5">
        <v>0.66666666666666596</v>
      </c>
    </row>
    <row r="71" spans="1:10" ht="14.4" x14ac:dyDescent="0.25">
      <c r="A71" s="8" t="s">
        <v>157</v>
      </c>
      <c r="B71" s="4" t="s">
        <v>79</v>
      </c>
      <c r="C71" s="4">
        <v>9.5698944586738305E-2</v>
      </c>
      <c r="D71" s="5">
        <f t="shared" si="5"/>
        <v>0</v>
      </c>
      <c r="E71" s="5">
        <v>0.36054421768707401</v>
      </c>
      <c r="F71" s="5">
        <f t="shared" si="6"/>
        <v>0.55070069803378197</v>
      </c>
      <c r="G71" s="5">
        <f t="shared" si="7"/>
        <v>0.44929930196621803</v>
      </c>
      <c r="H71" s="5">
        <f t="shared" si="8"/>
        <v>0.40492175982664602</v>
      </c>
      <c r="I71" s="5">
        <f t="shared" si="9"/>
        <v>0.44929930196621809</v>
      </c>
      <c r="J71" s="5">
        <v>0.91175887368629704</v>
      </c>
    </row>
    <row r="72" spans="1:10" ht="14.4" x14ac:dyDescent="0.25">
      <c r="A72" s="8" t="s">
        <v>158</v>
      </c>
      <c r="B72" s="4" t="s">
        <v>80</v>
      </c>
      <c r="C72" s="4">
        <v>0.33113560086519001</v>
      </c>
      <c r="D72" s="5">
        <f t="shared" si="5"/>
        <v>0.52977353599234356</v>
      </c>
      <c r="E72" s="5">
        <v>0.32823151691076202</v>
      </c>
      <c r="F72" s="5">
        <f t="shared" si="6"/>
        <v>0.50134578953732634</v>
      </c>
      <c r="G72" s="5">
        <f t="shared" si="7"/>
        <v>0.49865421046267366</v>
      </c>
      <c r="H72" s="5">
        <f t="shared" si="8"/>
        <v>0.41344286368671784</v>
      </c>
      <c r="I72" s="5">
        <f t="shared" si="9"/>
        <v>0.49865421046267361</v>
      </c>
      <c r="J72" s="5">
        <v>0.8</v>
      </c>
    </row>
    <row r="73" spans="1:10" ht="14.4" x14ac:dyDescent="0.25">
      <c r="A73" s="8" t="s">
        <v>159</v>
      </c>
      <c r="B73" s="4" t="s">
        <v>81</v>
      </c>
      <c r="C73" s="4">
        <v>0.13399370428136201</v>
      </c>
      <c r="D73" s="5">
        <f t="shared" si="5"/>
        <v>8.6169887790980726E-2</v>
      </c>
      <c r="E73" s="5">
        <v>4.1666666666666602E-2</v>
      </c>
      <c r="F73" s="5">
        <f t="shared" si="6"/>
        <v>6.3642297650130519E-2</v>
      </c>
      <c r="G73" s="5">
        <f t="shared" si="7"/>
        <v>0.93635770234986948</v>
      </c>
      <c r="H73" s="5">
        <f t="shared" si="8"/>
        <v>0.48901218450826806</v>
      </c>
      <c r="I73" s="5">
        <f t="shared" si="9"/>
        <v>0.93635770234986959</v>
      </c>
      <c r="J73" s="5">
        <v>2.4390243902439001E-2</v>
      </c>
    </row>
    <row r="74" spans="1:10" ht="14.4" x14ac:dyDescent="0.25">
      <c r="A74" s="8" t="s">
        <v>160</v>
      </c>
      <c r="B74" s="4" t="s">
        <v>82</v>
      </c>
      <c r="C74" s="4">
        <v>0.37229382715363302</v>
      </c>
      <c r="D74" s="5">
        <f t="shared" si="5"/>
        <v>0.62238672299841957</v>
      </c>
      <c r="E74" s="5">
        <v>0.33068081343943401</v>
      </c>
      <c r="F74" s="5">
        <f t="shared" si="6"/>
        <v>0.50508688214639452</v>
      </c>
      <c r="G74" s="5">
        <f t="shared" si="7"/>
        <v>0.49491311785360548</v>
      </c>
      <c r="H74" s="5">
        <f t="shared" si="8"/>
        <v>0.41279696564651974</v>
      </c>
      <c r="I74" s="5">
        <f t="shared" si="9"/>
        <v>0.49491311785360542</v>
      </c>
      <c r="J74" s="5">
        <v>0.83333333333333304</v>
      </c>
    </row>
    <row r="75" spans="1:10" ht="14.4" x14ac:dyDescent="0.25">
      <c r="A75" s="8" t="s">
        <v>186</v>
      </c>
      <c r="B75" s="4" t="s">
        <v>83</v>
      </c>
      <c r="C75" s="4">
        <v>0.31534934005160398</v>
      </c>
      <c r="D75" s="5">
        <f t="shared" si="5"/>
        <v>0.49425169609066011</v>
      </c>
      <c r="E75" s="5">
        <v>0.32187418200855</v>
      </c>
      <c r="F75" s="5">
        <f t="shared" si="6"/>
        <v>0.49163549993473094</v>
      </c>
      <c r="G75" s="5">
        <f t="shared" si="7"/>
        <v>0.50836450006526901</v>
      </c>
      <c r="H75" s="5">
        <f t="shared" si="8"/>
        <v>0.41511934103690951</v>
      </c>
      <c r="I75" s="5">
        <f t="shared" si="9"/>
        <v>0.5083645000652689</v>
      </c>
      <c r="J75" s="5">
        <v>0.8</v>
      </c>
    </row>
    <row r="76" spans="1:10" ht="14.4" x14ac:dyDescent="0.25">
      <c r="A76" s="8" t="s">
        <v>161</v>
      </c>
      <c r="B76" s="4" t="s">
        <v>84</v>
      </c>
      <c r="C76" s="4">
        <v>0.35567647855582202</v>
      </c>
      <c r="D76" s="5">
        <f t="shared" si="5"/>
        <v>0.58499479064329862</v>
      </c>
      <c r="E76" s="5">
        <v>0.282679738562091</v>
      </c>
      <c r="F76" s="5">
        <f t="shared" si="6"/>
        <v>0.43176931346951281</v>
      </c>
      <c r="G76" s="5">
        <f t="shared" si="7"/>
        <v>0.56823068653048714</v>
      </c>
      <c r="H76" s="5">
        <f t="shared" si="8"/>
        <v>0.42545521254628904</v>
      </c>
      <c r="I76" s="5">
        <f t="shared" si="9"/>
        <v>0.56823068653048681</v>
      </c>
      <c r="J76" s="5">
        <v>0.83333333333333304</v>
      </c>
    </row>
    <row r="77" spans="1:10" ht="14.4" x14ac:dyDescent="0.25">
      <c r="A77" s="8" t="s">
        <v>162</v>
      </c>
      <c r="B77" s="4" t="s">
        <v>85</v>
      </c>
      <c r="C77" s="4">
        <v>0.382665321269054</v>
      </c>
      <c r="D77" s="5">
        <f t="shared" si="5"/>
        <v>0.64572439351202038</v>
      </c>
      <c r="E77" s="5">
        <v>0.35233585283671798</v>
      </c>
      <c r="F77" s="5">
        <f t="shared" si="6"/>
        <v>0.53816311725712851</v>
      </c>
      <c r="G77" s="5">
        <f t="shared" si="7"/>
        <v>0.46183688274287149</v>
      </c>
      <c r="H77" s="5">
        <f t="shared" si="8"/>
        <v>0.40708636778979473</v>
      </c>
      <c r="I77" s="5">
        <f t="shared" si="9"/>
        <v>0.46183688274287155</v>
      </c>
      <c r="J77" s="5">
        <v>0.51485148514851398</v>
      </c>
    </row>
    <row r="78" spans="1:10" ht="14.4" x14ac:dyDescent="0.25">
      <c r="A78" s="8" t="s">
        <v>187</v>
      </c>
      <c r="B78" s="4" t="s">
        <v>86</v>
      </c>
      <c r="C78" s="4">
        <v>0.42840285611880602</v>
      </c>
      <c r="D78" s="5">
        <f t="shared" si="5"/>
        <v>0.74864182339714669</v>
      </c>
      <c r="E78" s="5">
        <v>0.31279763181603598</v>
      </c>
      <c r="F78" s="5">
        <f t="shared" si="6"/>
        <v>0.47777183971901105</v>
      </c>
      <c r="G78" s="5">
        <f t="shared" si="7"/>
        <v>0.52222816028098895</v>
      </c>
      <c r="H78" s="5">
        <f t="shared" si="8"/>
        <v>0.41751289604851249</v>
      </c>
      <c r="I78" s="5">
        <f t="shared" si="9"/>
        <v>0.52222816028098917</v>
      </c>
      <c r="J78" s="5">
        <v>0.66666666666666596</v>
      </c>
    </row>
    <row r="79" spans="1:10" ht="14.4" x14ac:dyDescent="0.25">
      <c r="A79" s="8" t="s">
        <v>163</v>
      </c>
      <c r="B79" s="4" t="s">
        <v>87</v>
      </c>
      <c r="C79" s="4">
        <v>0.31963800189498098</v>
      </c>
      <c r="D79" s="5">
        <f t="shared" si="5"/>
        <v>0.50390193316654752</v>
      </c>
      <c r="E79" s="5">
        <v>0.30536130536130501</v>
      </c>
      <c r="F79" s="5">
        <f t="shared" si="6"/>
        <v>0.46641348207927835</v>
      </c>
      <c r="G79" s="5">
        <f t="shared" si="7"/>
        <v>0.53358651792072165</v>
      </c>
      <c r="H79" s="5">
        <f t="shared" si="8"/>
        <v>0.41947391164101333</v>
      </c>
      <c r="I79" s="5">
        <f t="shared" si="9"/>
        <v>0.53358651792072165</v>
      </c>
      <c r="J79" s="5">
        <v>0.66666666666666596</v>
      </c>
    </row>
    <row r="80" spans="1:10" ht="14.4" x14ac:dyDescent="0.25">
      <c r="A80" s="8" t="s">
        <v>164</v>
      </c>
      <c r="B80" s="4" t="s">
        <v>88</v>
      </c>
      <c r="C80" s="4">
        <v>0.34020673414680502</v>
      </c>
      <c r="D80" s="5">
        <f t="shared" si="5"/>
        <v>0.55018516785129834</v>
      </c>
      <c r="E80" s="5">
        <v>0.35438114847860902</v>
      </c>
      <c r="F80" s="5">
        <f t="shared" si="6"/>
        <v>0.54128713279369844</v>
      </c>
      <c r="G80" s="5">
        <f t="shared" si="7"/>
        <v>0.45871286720630156</v>
      </c>
      <c r="H80" s="5">
        <f t="shared" si="8"/>
        <v>0.40654700784245529</v>
      </c>
      <c r="I80" s="5">
        <f t="shared" si="9"/>
        <v>0.45871286720630144</v>
      </c>
      <c r="J80" s="5">
        <v>0.96721311475409799</v>
      </c>
    </row>
    <row r="81" spans="1:10" ht="14.4" x14ac:dyDescent="0.25">
      <c r="A81" s="8" t="s">
        <v>165</v>
      </c>
      <c r="B81" s="4" t="s">
        <v>89</v>
      </c>
      <c r="C81" s="4">
        <v>0.33280940211643101</v>
      </c>
      <c r="D81" s="5">
        <f t="shared" si="5"/>
        <v>0.53353988071297886</v>
      </c>
      <c r="E81" s="5">
        <v>0.35438114847860902</v>
      </c>
      <c r="F81" s="5">
        <f t="shared" si="6"/>
        <v>0.54128713279369844</v>
      </c>
      <c r="G81" s="5">
        <f t="shared" si="7"/>
        <v>0.45871286720630156</v>
      </c>
      <c r="H81" s="5">
        <f t="shared" si="8"/>
        <v>0.40654700784245529</v>
      </c>
      <c r="I81" s="5">
        <f t="shared" si="9"/>
        <v>0.45871286720630144</v>
      </c>
      <c r="J81" s="5">
        <v>0.66666666666666596</v>
      </c>
    </row>
    <row r="82" spans="1:10" ht="14.4" x14ac:dyDescent="0.25">
      <c r="A82" s="8" t="s">
        <v>6</v>
      </c>
      <c r="B82" s="4" t="s">
        <v>90</v>
      </c>
      <c r="C82" s="4">
        <v>0.377385927300039</v>
      </c>
      <c r="D82" s="5">
        <f t="shared" si="5"/>
        <v>0.63384483637307654</v>
      </c>
      <c r="E82" s="5">
        <v>0.25396763196049998</v>
      </c>
      <c r="F82" s="5">
        <f t="shared" si="6"/>
        <v>0.38791400704149515</v>
      </c>
      <c r="G82" s="5">
        <f t="shared" si="7"/>
        <v>0.61208599295850485</v>
      </c>
      <c r="H82" s="5">
        <f t="shared" si="8"/>
        <v>0.43302681245950242</v>
      </c>
      <c r="I82" s="5">
        <f t="shared" si="9"/>
        <v>0.61208599295850485</v>
      </c>
      <c r="J82" s="5">
        <v>0.75</v>
      </c>
    </row>
    <row r="83" spans="1:10" ht="14.4" x14ac:dyDescent="0.25">
      <c r="A83" s="8" t="s">
        <v>166</v>
      </c>
      <c r="B83" s="4" t="s">
        <v>91</v>
      </c>
      <c r="C83" s="4">
        <v>0.37599548743187799</v>
      </c>
      <c r="D83" s="5">
        <f t="shared" si="5"/>
        <v>0.63071610418164936</v>
      </c>
      <c r="E83" s="5">
        <v>0.33900582176444199</v>
      </c>
      <c r="F83" s="5">
        <f t="shared" si="6"/>
        <v>0.51780262593263382</v>
      </c>
      <c r="G83" s="5">
        <f t="shared" si="7"/>
        <v>0.48219737406736618</v>
      </c>
      <c r="H83" s="5">
        <f t="shared" si="8"/>
        <v>0.41060159791590412</v>
      </c>
      <c r="I83" s="5">
        <f t="shared" si="9"/>
        <v>0.4821973740673664</v>
      </c>
      <c r="J83" s="5">
        <v>0.75</v>
      </c>
    </row>
    <row r="84" spans="1:10" ht="14.4" x14ac:dyDescent="0.25">
      <c r="A84" s="8" t="s">
        <v>167</v>
      </c>
      <c r="B84" s="4" t="s">
        <v>92</v>
      </c>
      <c r="C84" s="4">
        <v>0.283471690142786</v>
      </c>
      <c r="D84" s="5">
        <f t="shared" si="5"/>
        <v>0.42252142444023755</v>
      </c>
      <c r="E84" s="5">
        <v>0.35104501972162999</v>
      </c>
      <c r="F84" s="5">
        <f t="shared" si="6"/>
        <v>0.53619147920927868</v>
      </c>
      <c r="G84" s="5">
        <f t="shared" si="7"/>
        <v>0.46380852079072132</v>
      </c>
      <c r="H84" s="5">
        <f t="shared" si="8"/>
        <v>0.40742677025617569</v>
      </c>
      <c r="I84" s="5">
        <f t="shared" si="9"/>
        <v>0.4638085207907216</v>
      </c>
      <c r="J84" s="5">
        <v>0.66666666666666596</v>
      </c>
    </row>
    <row r="85" spans="1:10" ht="14.4" x14ac:dyDescent="0.25">
      <c r="A85" s="8" t="s">
        <v>168</v>
      </c>
      <c r="B85" s="4" t="s">
        <v>93</v>
      </c>
      <c r="C85" s="4">
        <v>0.31553579826399902</v>
      </c>
      <c r="D85" s="5">
        <f t="shared" si="5"/>
        <v>0.49467125958623792</v>
      </c>
      <c r="E85" s="5">
        <v>0.29462041226747099</v>
      </c>
      <c r="F85" s="5">
        <f t="shared" si="6"/>
        <v>0.45000767931193397</v>
      </c>
      <c r="G85" s="5">
        <f t="shared" si="7"/>
        <v>0.54999232068806603</v>
      </c>
      <c r="H85" s="5">
        <f t="shared" si="8"/>
        <v>0.42230636647776854</v>
      </c>
      <c r="I85" s="5">
        <f t="shared" si="9"/>
        <v>0.54999232068806614</v>
      </c>
      <c r="J85" s="5">
        <v>0.66666666666666596</v>
      </c>
    </row>
    <row r="86" spans="1:10" ht="14.4" x14ac:dyDescent="0.25">
      <c r="A86" s="8" t="s">
        <v>169</v>
      </c>
      <c r="B86" s="4" t="s">
        <v>94</v>
      </c>
      <c r="C86" s="4">
        <v>0.35685446454213798</v>
      </c>
      <c r="D86" s="5">
        <f t="shared" si="5"/>
        <v>0.58764546454932765</v>
      </c>
      <c r="E86" s="5">
        <v>0.40547447048995</v>
      </c>
      <c r="F86" s="5">
        <f t="shared" si="6"/>
        <v>0.61932784657081197</v>
      </c>
      <c r="G86" s="5">
        <f t="shared" si="7"/>
        <v>0.38067215342918803</v>
      </c>
      <c r="H86" s="5">
        <f t="shared" si="8"/>
        <v>0.39307331195956902</v>
      </c>
      <c r="I86" s="5">
        <f t="shared" si="9"/>
        <v>0.38067215342918809</v>
      </c>
      <c r="J86" s="5">
        <v>0.66666666666666596</v>
      </c>
    </row>
    <row r="87" spans="1:10" ht="14.4" x14ac:dyDescent="0.25">
      <c r="A87" s="8" t="s">
        <v>170</v>
      </c>
      <c r="B87" s="4" t="s">
        <v>95</v>
      </c>
      <c r="C87" s="4">
        <v>0.43005270361482301</v>
      </c>
      <c r="D87" s="5">
        <f t="shared" si="5"/>
        <v>0.75235426799107319</v>
      </c>
      <c r="E87" s="5">
        <v>0.40435596728096901</v>
      </c>
      <c r="F87" s="5">
        <f t="shared" si="6"/>
        <v>0.61761942783124568</v>
      </c>
      <c r="G87" s="5">
        <f t="shared" si="7"/>
        <v>0.38238057216875432</v>
      </c>
      <c r="H87" s="5">
        <f t="shared" si="8"/>
        <v>0.39336826972486166</v>
      </c>
      <c r="I87" s="5">
        <f t="shared" si="9"/>
        <v>0.38238057216875437</v>
      </c>
      <c r="J87" s="5">
        <v>0.83333333333333304</v>
      </c>
    </row>
    <row r="88" spans="1:10" ht="14.4" x14ac:dyDescent="0.25">
      <c r="A88" s="8" t="s">
        <v>171</v>
      </c>
      <c r="B88" s="4" t="s">
        <v>96</v>
      </c>
      <c r="C88" s="4">
        <v>0.30329841477629699</v>
      </c>
      <c r="D88" s="5">
        <f t="shared" si="5"/>
        <v>0.46713501258013573</v>
      </c>
      <c r="E88" s="5">
        <v>0.43398097345465703</v>
      </c>
      <c r="F88" s="5">
        <f t="shared" si="6"/>
        <v>0.66286911089027312</v>
      </c>
      <c r="G88" s="5">
        <f t="shared" si="7"/>
        <v>0.33713088910972688</v>
      </c>
      <c r="H88" s="5">
        <f t="shared" si="8"/>
        <v>0.38555593128219195</v>
      </c>
      <c r="I88" s="5">
        <f t="shared" si="9"/>
        <v>0.33713088910972694</v>
      </c>
      <c r="J88" s="5">
        <v>0.66666666666666596</v>
      </c>
    </row>
    <row r="89" spans="1:10" ht="14.4" x14ac:dyDescent="0.25">
      <c r="A89" s="8" t="s">
        <v>188</v>
      </c>
      <c r="B89" s="4" t="s">
        <v>97</v>
      </c>
      <c r="C89" s="4">
        <v>0.37671538703819801</v>
      </c>
      <c r="D89" s="5">
        <f t="shared" si="5"/>
        <v>0.63233600384395416</v>
      </c>
      <c r="E89" s="5">
        <v>0.30327729665477998</v>
      </c>
      <c r="F89" s="5">
        <f t="shared" si="6"/>
        <v>0.46323033562153126</v>
      </c>
      <c r="G89" s="5">
        <f t="shared" si="7"/>
        <v>0.53676966437846874</v>
      </c>
      <c r="H89" s="5">
        <f t="shared" si="8"/>
        <v>0.42002348051662436</v>
      </c>
      <c r="I89" s="5">
        <f t="shared" si="9"/>
        <v>0.53676966437846874</v>
      </c>
      <c r="J89" s="5">
        <v>0.58823529411764697</v>
      </c>
    </row>
    <row r="90" spans="1:10" ht="14.4" x14ac:dyDescent="0.25">
      <c r="A90" s="8" t="s">
        <v>172</v>
      </c>
      <c r="B90" s="4" t="s">
        <v>98</v>
      </c>
      <c r="C90" s="4">
        <v>0.30317382549424199</v>
      </c>
      <c r="D90" s="5">
        <f t="shared" si="5"/>
        <v>0.46685466496755768</v>
      </c>
      <c r="E90" s="5">
        <v>0.24106662568201001</v>
      </c>
      <c r="F90" s="5">
        <f t="shared" si="6"/>
        <v>0.36820881468401045</v>
      </c>
      <c r="G90" s="5">
        <f t="shared" si="7"/>
        <v>0.63179118531598955</v>
      </c>
      <c r="H90" s="5">
        <f t="shared" si="8"/>
        <v>0.43642890549899976</v>
      </c>
      <c r="I90" s="5">
        <f t="shared" si="9"/>
        <v>0.63179118531598943</v>
      </c>
      <c r="J90" s="5">
        <v>0.66666666666666596</v>
      </c>
    </row>
    <row r="91" spans="1:10" ht="14.4" x14ac:dyDescent="0.25">
      <c r="A91" s="8" t="s">
        <v>173</v>
      </c>
      <c r="B91" s="4" t="s">
        <v>99</v>
      </c>
      <c r="C91" s="4">
        <v>0.233035012718562</v>
      </c>
      <c r="D91" s="5">
        <f t="shared" si="5"/>
        <v>0.30903010424779265</v>
      </c>
      <c r="E91" s="5">
        <v>0.46180110968843302</v>
      </c>
      <c r="F91" s="5">
        <f t="shared" si="6"/>
        <v>0.70536200827084483</v>
      </c>
      <c r="G91" s="5">
        <f t="shared" si="7"/>
        <v>0.29463799172915517</v>
      </c>
      <c r="H91" s="5">
        <f t="shared" si="8"/>
        <v>0.37821955070879409</v>
      </c>
      <c r="I91" s="5">
        <f t="shared" si="9"/>
        <v>0.29463799172915528</v>
      </c>
      <c r="J91" s="5">
        <v>0.66666666666666596</v>
      </c>
    </row>
    <row r="92" spans="1:10" ht="14.4" x14ac:dyDescent="0.25">
      <c r="A92" s="8" t="s">
        <v>174</v>
      </c>
      <c r="B92" s="4" t="s">
        <v>100</v>
      </c>
      <c r="C92" s="4">
        <v>0.35043713786075997</v>
      </c>
      <c r="D92" s="5">
        <f t="shared" si="5"/>
        <v>0.57320536035590608</v>
      </c>
      <c r="E92" s="5">
        <v>0.33315616972273898</v>
      </c>
      <c r="F92" s="5">
        <f t="shared" si="6"/>
        <v>0.50886777881932765</v>
      </c>
      <c r="G92" s="5">
        <f t="shared" si="7"/>
        <v>0.49113222118067235</v>
      </c>
      <c r="H92" s="5">
        <f t="shared" si="8"/>
        <v>0.41214419545170566</v>
      </c>
      <c r="I92" s="5">
        <f t="shared" si="9"/>
        <v>0.4911322211806724</v>
      </c>
      <c r="J92" s="5">
        <v>0.66666666666666596</v>
      </c>
    </row>
    <row r="93" spans="1:10" ht="14.4" x14ac:dyDescent="0.25">
      <c r="A93" s="8" t="s">
        <v>175</v>
      </c>
      <c r="B93" s="4" t="s">
        <v>101</v>
      </c>
      <c r="C93" s="4">
        <v>0.38201497324603001</v>
      </c>
      <c r="D93" s="5">
        <f t="shared" si="5"/>
        <v>0.64426099704169515</v>
      </c>
      <c r="E93" s="5">
        <v>0.27953560624642299</v>
      </c>
      <c r="F93" s="5">
        <f t="shared" si="6"/>
        <v>0.4269669181570695</v>
      </c>
      <c r="G93" s="5">
        <f t="shared" si="7"/>
        <v>0.57303308184293056</v>
      </c>
      <c r="H93" s="5">
        <f t="shared" si="8"/>
        <v>0.42628434404467674</v>
      </c>
      <c r="I93" s="5">
        <f t="shared" si="9"/>
        <v>0.57303308184293045</v>
      </c>
      <c r="J93" s="5">
        <v>0.66666666666666596</v>
      </c>
    </row>
    <row r="94" spans="1:10" ht="14.4" x14ac:dyDescent="0.25">
      <c r="A94" s="8" t="s">
        <v>189</v>
      </c>
      <c r="B94" s="4" t="s">
        <v>102</v>
      </c>
      <c r="C94" s="4">
        <v>0.429064228710618</v>
      </c>
      <c r="D94" s="5">
        <f t="shared" si="5"/>
        <v>0.75013002706989274</v>
      </c>
      <c r="E94" s="5">
        <v>0.33221209170576199</v>
      </c>
      <c r="F94" s="5">
        <f t="shared" si="6"/>
        <v>0.50742577975945424</v>
      </c>
      <c r="G94" s="5">
        <f t="shared" si="7"/>
        <v>0.49257422024054576</v>
      </c>
      <c r="H94" s="5">
        <f t="shared" si="8"/>
        <v>0.41239315597315385</v>
      </c>
      <c r="I94" s="5">
        <f t="shared" si="9"/>
        <v>0.49257422024054553</v>
      </c>
      <c r="J94" s="5">
        <v>0.97959183673469297</v>
      </c>
    </row>
    <row r="95" spans="1:10" ht="14.4" x14ac:dyDescent="0.25">
      <c r="A95" s="8" t="s">
        <v>176</v>
      </c>
      <c r="B95" s="4" t="s">
        <v>103</v>
      </c>
      <c r="C95" s="4">
        <v>0.27386318720596903</v>
      </c>
      <c r="D95" s="5">
        <f t="shared" si="5"/>
        <v>0.40090061714160691</v>
      </c>
      <c r="E95" s="5">
        <v>0.400313356835095</v>
      </c>
      <c r="F95" s="5">
        <f t="shared" si="6"/>
        <v>0.61144468341652958</v>
      </c>
      <c r="G95" s="5">
        <f t="shared" si="7"/>
        <v>0.38855531658347042</v>
      </c>
      <c r="H95" s="5">
        <f t="shared" si="8"/>
        <v>0.39443433670928274</v>
      </c>
      <c r="I95" s="5">
        <f t="shared" si="9"/>
        <v>0.38855531658347053</v>
      </c>
      <c r="J95" s="5">
        <v>0.66666666666666596</v>
      </c>
    </row>
    <row r="98" spans="3:8" x14ac:dyDescent="0.25">
      <c r="C98" s="4" t="s">
        <v>8</v>
      </c>
      <c r="D98" s="4"/>
      <c r="E98" s="4" t="s">
        <v>8</v>
      </c>
      <c r="H98" s="4" t="s">
        <v>8</v>
      </c>
    </row>
    <row r="99" spans="3:8" x14ac:dyDescent="0.25">
      <c r="C99" s="3">
        <f>MIN(C2:C95)</f>
        <v>9.5698944586738305E-2</v>
      </c>
      <c r="D99" s="3"/>
      <c r="E99" s="3">
        <f>MIN(E2:E95)</f>
        <v>0</v>
      </c>
      <c r="H99" s="3">
        <f>MIN(H2:H95)</f>
        <v>0.32735042735042702</v>
      </c>
    </row>
    <row r="100" spans="3:8" x14ac:dyDescent="0.25">
      <c r="C100" s="4" t="s">
        <v>9</v>
      </c>
      <c r="D100" s="4"/>
      <c r="E100" s="4" t="s">
        <v>9</v>
      </c>
      <c r="H100" s="4" t="s">
        <v>9</v>
      </c>
    </row>
    <row r="101" spans="3:8" x14ac:dyDescent="0.25">
      <c r="C101" s="3">
        <f>MAX(C2:C95)</f>
        <v>0.54010894297868195</v>
      </c>
      <c r="D101" s="3"/>
      <c r="E101" s="3">
        <f>MAX(E2:E95)</f>
        <v>0.65470085470085404</v>
      </c>
      <c r="F101" s="7"/>
      <c r="G101" s="7"/>
      <c r="H101" s="3">
        <f>MAX(H2:H95)</f>
        <v>0.5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7C2D-A203-49C2-8765-515BD91999E6}">
  <dimension ref="A1:J101"/>
  <sheetViews>
    <sheetView workbookViewId="0">
      <selection sqref="A1:XFD1"/>
    </sheetView>
  </sheetViews>
  <sheetFormatPr defaultRowHeight="13.8" x14ac:dyDescent="0.25"/>
  <cols>
    <col min="1" max="1" width="36.5546875" style="4" customWidth="1"/>
    <col min="2" max="16384" width="8.88671875" style="1"/>
  </cols>
  <sheetData>
    <row r="1" spans="1:10" s="4" customFormat="1" x14ac:dyDescent="0.25">
      <c r="C1" s="10" t="s">
        <v>190</v>
      </c>
      <c r="D1" s="10" t="s">
        <v>191</v>
      </c>
      <c r="E1" s="10" t="s">
        <v>192</v>
      </c>
      <c r="F1" s="10" t="s">
        <v>193</v>
      </c>
      <c r="G1" s="10" t="s">
        <v>194</v>
      </c>
      <c r="H1" s="4" t="s">
        <v>195</v>
      </c>
      <c r="I1" s="4" t="s">
        <v>196</v>
      </c>
      <c r="J1" s="10" t="s">
        <v>197</v>
      </c>
    </row>
    <row r="2" spans="1:10" x14ac:dyDescent="0.25">
      <c r="A2" s="8" t="s">
        <v>0</v>
      </c>
      <c r="B2" s="4" t="s">
        <v>7</v>
      </c>
      <c r="C2" s="4">
        <v>0.50346275683390096</v>
      </c>
      <c r="D2" s="5">
        <f>(C2-$C$99)/($C$101-$C$99)</f>
        <v>0.92707715379745115</v>
      </c>
      <c r="E2" s="5">
        <v>0.37536629170999097</v>
      </c>
      <c r="F2" s="5">
        <f>(E2-$E$99)/($E$101-$E$99)</f>
        <v>0.60471271518607517</v>
      </c>
      <c r="G2" s="5">
        <f>1-F2</f>
        <v>0.39528728481392483</v>
      </c>
      <c r="H2" s="5">
        <f>(E2+G2)/2</f>
        <v>0.38532678826195788</v>
      </c>
      <c r="I2" s="5">
        <f>(H2-$H$99)/($H$101-$H$99)</f>
        <v>0.39528728481392467</v>
      </c>
      <c r="J2" s="5">
        <v>0.96153846153846101</v>
      </c>
    </row>
    <row r="3" spans="1:10" ht="14.4" x14ac:dyDescent="0.25">
      <c r="A3" s="8" t="s">
        <v>177</v>
      </c>
      <c r="B3" s="4" t="s">
        <v>11</v>
      </c>
      <c r="C3" s="4">
        <v>0.37555576024260201</v>
      </c>
      <c r="D3" s="5">
        <f t="shared" ref="D3:D66" si="0">(C3-$C$99)/($C$101-$C$99)</f>
        <v>0.63994099585166853</v>
      </c>
      <c r="E3" s="5">
        <v>0.34525099313831698</v>
      </c>
      <c r="F3" s="5">
        <f t="shared" ref="F3:F66" si="1">(E3-$E$99)/($E$101-$E$99)</f>
        <v>0.55619716019323029</v>
      </c>
      <c r="G3" s="5">
        <f t="shared" ref="G3:G66" si="2">1-F3</f>
        <v>0.44380283980676971</v>
      </c>
      <c r="H3" s="5">
        <f t="shared" ref="H3:H66" si="3">(E3+G3)/2</f>
        <v>0.39452691647254334</v>
      </c>
      <c r="I3" s="5">
        <f t="shared" ref="I3:I66" si="4">(H3-$H$99)/($H$101-$H$99)</f>
        <v>0.44380283980676971</v>
      </c>
      <c r="J3" s="5">
        <v>0.8</v>
      </c>
    </row>
    <row r="4" spans="1:10" ht="14.4" x14ac:dyDescent="0.25">
      <c r="A4" s="8" t="s">
        <v>104</v>
      </c>
      <c r="B4" s="4" t="s">
        <v>12</v>
      </c>
      <c r="C4" s="4">
        <v>0.374957618188903</v>
      </c>
      <c r="D4" s="5">
        <f t="shared" si="0"/>
        <v>0.63859823731787446</v>
      </c>
      <c r="E4" s="5">
        <v>0.35891909358413698</v>
      </c>
      <c r="F4" s="5">
        <f t="shared" si="1"/>
        <v>0.57821638332159153</v>
      </c>
      <c r="G4" s="5">
        <f t="shared" si="2"/>
        <v>0.42178361667840847</v>
      </c>
      <c r="H4" s="5">
        <f t="shared" si="3"/>
        <v>0.39035135513127273</v>
      </c>
      <c r="I4" s="5">
        <f t="shared" si="4"/>
        <v>0.42178361667840841</v>
      </c>
      <c r="J4" s="5">
        <v>0.952380952380952</v>
      </c>
    </row>
    <row r="5" spans="1:10" ht="14.4" x14ac:dyDescent="0.25">
      <c r="A5" s="8" t="s">
        <v>105</v>
      </c>
      <c r="B5" s="4" t="s">
        <v>13</v>
      </c>
      <c r="C5" s="4">
        <v>0.353901758916153</v>
      </c>
      <c r="D5" s="5">
        <f t="shared" si="0"/>
        <v>0.59133031066064112</v>
      </c>
      <c r="E5" s="5">
        <v>0.29755605946082098</v>
      </c>
      <c r="F5" s="5">
        <f t="shared" si="1"/>
        <v>0.47936092454364887</v>
      </c>
      <c r="G5" s="5">
        <f t="shared" si="2"/>
        <v>0.52063907545635113</v>
      </c>
      <c r="H5" s="5">
        <f t="shared" si="3"/>
        <v>0.40909756745858605</v>
      </c>
      <c r="I5" s="5">
        <f t="shared" si="4"/>
        <v>0.52063907545635113</v>
      </c>
      <c r="J5" s="5">
        <v>0.83333333333333304</v>
      </c>
    </row>
    <row r="6" spans="1:10" ht="14.4" x14ac:dyDescent="0.25">
      <c r="A6" s="8" t="s">
        <v>106</v>
      </c>
      <c r="B6" s="4" t="s">
        <v>14</v>
      </c>
      <c r="C6" s="4">
        <v>0.37062820774205701</v>
      </c>
      <c r="D6" s="5">
        <f t="shared" si="0"/>
        <v>0.62887922025855081</v>
      </c>
      <c r="E6" s="5">
        <v>0.27808531422989202</v>
      </c>
      <c r="F6" s="5">
        <f t="shared" si="1"/>
        <v>0.44799367746972102</v>
      </c>
      <c r="G6" s="5">
        <f t="shared" si="2"/>
        <v>0.55200632253027893</v>
      </c>
      <c r="H6" s="5">
        <f t="shared" si="3"/>
        <v>0.41504581838008547</v>
      </c>
      <c r="I6" s="5">
        <f t="shared" si="4"/>
        <v>0.55200632253027881</v>
      </c>
      <c r="J6" s="5">
        <v>0.70588235294117596</v>
      </c>
    </row>
    <row r="7" spans="1:10" ht="14.4" x14ac:dyDescent="0.25">
      <c r="A7" s="8" t="s">
        <v>107</v>
      </c>
      <c r="B7" s="4" t="s">
        <v>15</v>
      </c>
      <c r="C7" s="4">
        <v>0.419557919482692</v>
      </c>
      <c r="D7" s="5">
        <f t="shared" si="0"/>
        <v>0.73872066609824083</v>
      </c>
      <c r="E7" s="5">
        <v>0.32129774986917797</v>
      </c>
      <c r="F7" s="5">
        <f t="shared" si="1"/>
        <v>0.51760863720996608</v>
      </c>
      <c r="G7" s="5">
        <f t="shared" si="2"/>
        <v>0.48239136279003392</v>
      </c>
      <c r="H7" s="5">
        <f t="shared" si="3"/>
        <v>0.40184455632960592</v>
      </c>
      <c r="I7" s="5">
        <f t="shared" si="4"/>
        <v>0.48239136279003386</v>
      </c>
      <c r="J7" s="5">
        <v>0.95652173913043403</v>
      </c>
    </row>
    <row r="8" spans="1:10" ht="14.4" x14ac:dyDescent="0.25">
      <c r="A8" s="8" t="s">
        <v>108</v>
      </c>
      <c r="B8" s="4" t="s">
        <v>16</v>
      </c>
      <c r="C8" s="4">
        <v>0.40253968372566601</v>
      </c>
      <c r="D8" s="5">
        <f t="shared" si="0"/>
        <v>0.70051672917130348</v>
      </c>
      <c r="E8" s="5">
        <v>0.29671501437718301</v>
      </c>
      <c r="F8" s="5">
        <f t="shared" si="1"/>
        <v>0.47800600624823208</v>
      </c>
      <c r="G8" s="5">
        <f t="shared" si="2"/>
        <v>0.52199399375176792</v>
      </c>
      <c r="H8" s="5">
        <f t="shared" si="3"/>
        <v>0.40935450406447549</v>
      </c>
      <c r="I8" s="5">
        <f t="shared" si="4"/>
        <v>0.52199399375176814</v>
      </c>
      <c r="J8" s="5">
        <v>0.81818181818181801</v>
      </c>
    </row>
    <row r="9" spans="1:10" ht="14.4" x14ac:dyDescent="0.25">
      <c r="A9" s="8" t="s">
        <v>109</v>
      </c>
      <c r="B9" s="4" t="s">
        <v>17</v>
      </c>
      <c r="C9" s="4">
        <v>0.33908325480323198</v>
      </c>
      <c r="D9" s="5">
        <f t="shared" si="0"/>
        <v>0.55806451245662503</v>
      </c>
      <c r="E9" s="5">
        <v>0.31784289925437798</v>
      </c>
      <c r="F9" s="5">
        <f t="shared" si="1"/>
        <v>0.51204289478189513</v>
      </c>
      <c r="G9" s="5">
        <f t="shared" si="2"/>
        <v>0.48795710521810487</v>
      </c>
      <c r="H9" s="5">
        <f t="shared" si="3"/>
        <v>0.40290000223624145</v>
      </c>
      <c r="I9" s="5">
        <f t="shared" si="4"/>
        <v>0.48795710521810493</v>
      </c>
      <c r="J9" s="5">
        <v>0.9375</v>
      </c>
    </row>
    <row r="10" spans="1:10" ht="14.4" x14ac:dyDescent="0.25">
      <c r="A10" s="8" t="s">
        <v>110</v>
      </c>
      <c r="B10" s="4" t="s">
        <v>18</v>
      </c>
      <c r="C10" s="4">
        <v>0.24388428053550801</v>
      </c>
      <c r="D10" s="5">
        <f t="shared" si="0"/>
        <v>0.34435401623602041</v>
      </c>
      <c r="E10" s="5">
        <v>0.52269569245020797</v>
      </c>
      <c r="F10" s="5">
        <f t="shared" si="1"/>
        <v>0.84205944534261956</v>
      </c>
      <c r="G10" s="5">
        <f t="shared" si="2"/>
        <v>0.15794055465738044</v>
      </c>
      <c r="H10" s="5">
        <f t="shared" si="3"/>
        <v>0.34031812355379421</v>
      </c>
      <c r="I10" s="5">
        <f t="shared" si="4"/>
        <v>0.15794055465738047</v>
      </c>
      <c r="J10" s="5">
        <v>0.66666666666666596</v>
      </c>
    </row>
    <row r="11" spans="1:10" ht="14.4" x14ac:dyDescent="0.25">
      <c r="A11" s="8" t="s">
        <v>178</v>
      </c>
      <c r="B11" s="4" t="s">
        <v>19</v>
      </c>
      <c r="C11" s="4">
        <v>0.46618284924423398</v>
      </c>
      <c r="D11" s="5">
        <f t="shared" si="0"/>
        <v>0.84338814757307246</v>
      </c>
      <c r="E11" s="5">
        <v>0.37398833051006902</v>
      </c>
      <c r="F11" s="5">
        <f t="shared" si="1"/>
        <v>0.60249282843271246</v>
      </c>
      <c r="G11" s="5">
        <f t="shared" si="2"/>
        <v>0.39750717156728754</v>
      </c>
      <c r="H11" s="5">
        <f t="shared" si="3"/>
        <v>0.38574775103867831</v>
      </c>
      <c r="I11" s="5">
        <f t="shared" si="4"/>
        <v>0.39750717156728776</v>
      </c>
      <c r="J11" s="5">
        <v>0.90322580645161199</v>
      </c>
    </row>
    <row r="12" spans="1:10" ht="14.4" x14ac:dyDescent="0.25">
      <c r="A12" s="8" t="s">
        <v>179</v>
      </c>
      <c r="B12" s="4" t="s">
        <v>20</v>
      </c>
      <c r="C12" s="4">
        <v>0.41917569749531802</v>
      </c>
      <c r="D12" s="5">
        <f t="shared" si="0"/>
        <v>0.73786262270842029</v>
      </c>
      <c r="E12" s="5">
        <v>0.39863547758284601</v>
      </c>
      <c r="F12" s="5">
        <f t="shared" si="1"/>
        <v>0.6421992260425563</v>
      </c>
      <c r="G12" s="5">
        <f t="shared" si="2"/>
        <v>0.3578007739574437</v>
      </c>
      <c r="H12" s="5">
        <f t="shared" si="3"/>
        <v>0.37821812577014485</v>
      </c>
      <c r="I12" s="5">
        <f t="shared" si="4"/>
        <v>0.35780077395744364</v>
      </c>
      <c r="J12" s="5">
        <v>0.91304347826086896</v>
      </c>
    </row>
    <row r="13" spans="1:10" ht="14.4" x14ac:dyDescent="0.25">
      <c r="A13" s="8" t="s">
        <v>111</v>
      </c>
      <c r="B13" s="4" t="s">
        <v>21</v>
      </c>
      <c r="C13" s="4">
        <v>0.259595131335146</v>
      </c>
      <c r="D13" s="5">
        <f t="shared" si="0"/>
        <v>0.37962302775915041</v>
      </c>
      <c r="E13" s="5">
        <v>0.411881680338056</v>
      </c>
      <c r="F13" s="5">
        <f t="shared" si="1"/>
        <v>0.66353877466722866</v>
      </c>
      <c r="G13" s="5">
        <f t="shared" si="2"/>
        <v>0.33646122533277134</v>
      </c>
      <c r="H13" s="5">
        <f t="shared" si="3"/>
        <v>0.37417145283541364</v>
      </c>
      <c r="I13" s="5">
        <f t="shared" si="4"/>
        <v>0.33646122533277112</v>
      </c>
      <c r="J13" s="5">
        <v>0.8</v>
      </c>
    </row>
    <row r="14" spans="1:10" ht="14.4" x14ac:dyDescent="0.25">
      <c r="A14" s="8" t="s">
        <v>112</v>
      </c>
      <c r="B14" s="4" t="s">
        <v>22</v>
      </c>
      <c r="C14" s="4">
        <v>0.375223672637439</v>
      </c>
      <c r="D14" s="5">
        <f t="shared" si="0"/>
        <v>0.63919549825115329</v>
      </c>
      <c r="E14" s="5">
        <v>0.32918055799263002</v>
      </c>
      <c r="F14" s="5">
        <f t="shared" si="1"/>
        <v>0.53030779110017856</v>
      </c>
      <c r="G14" s="5">
        <f t="shared" si="2"/>
        <v>0.46969220889982144</v>
      </c>
      <c r="H14" s="5">
        <f t="shared" si="3"/>
        <v>0.39943638344622573</v>
      </c>
      <c r="I14" s="5">
        <f t="shared" si="4"/>
        <v>0.46969220889982138</v>
      </c>
      <c r="J14" s="5">
        <v>0.66666666666666596</v>
      </c>
    </row>
    <row r="15" spans="1:10" ht="14.4" x14ac:dyDescent="0.25">
      <c r="A15" s="8" t="s">
        <v>113</v>
      </c>
      <c r="B15" s="4" t="s">
        <v>23</v>
      </c>
      <c r="C15" s="4">
        <v>0.39959868203194499</v>
      </c>
      <c r="D15" s="5">
        <f t="shared" si="0"/>
        <v>0.69391452640404261</v>
      </c>
      <c r="E15" s="5">
        <v>0.28543177323665098</v>
      </c>
      <c r="F15" s="5">
        <f t="shared" si="1"/>
        <v>0.45982877633473229</v>
      </c>
      <c r="G15" s="5">
        <f t="shared" si="2"/>
        <v>0.54017122366526771</v>
      </c>
      <c r="H15" s="5">
        <f t="shared" si="3"/>
        <v>0.41280149845095937</v>
      </c>
      <c r="I15" s="5">
        <f t="shared" si="4"/>
        <v>0.54017122366526782</v>
      </c>
      <c r="J15" s="5">
        <v>0.83333333333333304</v>
      </c>
    </row>
    <row r="16" spans="1:10" ht="14.4" x14ac:dyDescent="0.25">
      <c r="A16" s="8" t="s">
        <v>114</v>
      </c>
      <c r="B16" s="4" t="s">
        <v>24</v>
      </c>
      <c r="C16" s="4">
        <v>0.35394888257794499</v>
      </c>
      <c r="D16" s="5">
        <f t="shared" si="0"/>
        <v>0.59143609773684402</v>
      </c>
      <c r="E16" s="5">
        <v>0.35329482209563201</v>
      </c>
      <c r="F16" s="5">
        <f t="shared" si="1"/>
        <v>0.5691557176255222</v>
      </c>
      <c r="G16" s="5">
        <f t="shared" si="2"/>
        <v>0.4308442823744778</v>
      </c>
      <c r="H16" s="5">
        <f t="shared" si="3"/>
        <v>0.39206955223505491</v>
      </c>
      <c r="I16" s="5">
        <f t="shared" si="4"/>
        <v>0.43084428237447775</v>
      </c>
      <c r="J16" s="5">
        <v>0.969465648854961</v>
      </c>
    </row>
    <row r="17" spans="1:10" ht="14.4" x14ac:dyDescent="0.25">
      <c r="A17" s="8" t="s">
        <v>115</v>
      </c>
      <c r="B17" s="4" t="s">
        <v>25</v>
      </c>
      <c r="C17" s="4">
        <v>0.36950571857953701</v>
      </c>
      <c r="D17" s="5">
        <f t="shared" si="0"/>
        <v>0.62635936415957882</v>
      </c>
      <c r="E17" s="5">
        <v>0.36877510978230399</v>
      </c>
      <c r="F17" s="5">
        <f t="shared" si="1"/>
        <v>0.59409436290510798</v>
      </c>
      <c r="G17" s="5">
        <f t="shared" si="2"/>
        <v>0.40590563709489202</v>
      </c>
      <c r="H17" s="5">
        <f t="shared" si="3"/>
        <v>0.38734037343859801</v>
      </c>
      <c r="I17" s="5">
        <f t="shared" si="4"/>
        <v>0.40590563709489197</v>
      </c>
      <c r="J17" s="5">
        <v>0.83333333333333304</v>
      </c>
    </row>
    <row r="18" spans="1:10" ht="14.4" x14ac:dyDescent="0.25">
      <c r="A18" s="8" t="s">
        <v>116</v>
      </c>
      <c r="B18" s="4" t="s">
        <v>26</v>
      </c>
      <c r="C18" s="4">
        <v>0.36842726383698499</v>
      </c>
      <c r="D18" s="5">
        <f t="shared" si="0"/>
        <v>0.62393836015239168</v>
      </c>
      <c r="E18" s="5">
        <v>0.40956918800873499</v>
      </c>
      <c r="F18" s="5">
        <f t="shared" si="1"/>
        <v>0.65981336419166281</v>
      </c>
      <c r="G18" s="5">
        <f t="shared" si="2"/>
        <v>0.34018663580833719</v>
      </c>
      <c r="H18" s="5">
        <f t="shared" si="3"/>
        <v>0.37487791190853609</v>
      </c>
      <c r="I18" s="5">
        <f t="shared" si="4"/>
        <v>0.34018663580833725</v>
      </c>
      <c r="J18" s="5">
        <v>0.92307692307692302</v>
      </c>
    </row>
    <row r="19" spans="1:10" ht="14.4" x14ac:dyDescent="0.25">
      <c r="A19" s="8" t="s">
        <v>117</v>
      </c>
      <c r="B19" s="4" t="s">
        <v>27</v>
      </c>
      <c r="C19" s="4">
        <v>0.45082589874860501</v>
      </c>
      <c r="D19" s="5">
        <f t="shared" si="0"/>
        <v>0.80891360059290796</v>
      </c>
      <c r="E19" s="5">
        <v>0.40982468273900202</v>
      </c>
      <c r="F19" s="5">
        <f t="shared" si="1"/>
        <v>0.66022496458164903</v>
      </c>
      <c r="G19" s="5">
        <f t="shared" si="2"/>
        <v>0.33977503541835097</v>
      </c>
      <c r="H19" s="5">
        <f t="shared" si="3"/>
        <v>0.37479985907867652</v>
      </c>
      <c r="I19" s="5">
        <f t="shared" si="4"/>
        <v>0.33977503541835113</v>
      </c>
      <c r="J19" s="5">
        <v>0.66666666666666596</v>
      </c>
    </row>
    <row r="20" spans="1:10" ht="14.4" x14ac:dyDescent="0.25">
      <c r="A20" s="8" t="s">
        <v>118</v>
      </c>
      <c r="B20" s="4" t="s">
        <v>28</v>
      </c>
      <c r="C20" s="4">
        <v>0.369437481838926</v>
      </c>
      <c r="D20" s="5">
        <f t="shared" si="0"/>
        <v>0.62620618070556966</v>
      </c>
      <c r="E20" s="5">
        <v>0.31465517241379298</v>
      </c>
      <c r="F20" s="5">
        <f t="shared" si="1"/>
        <v>0.50690748705985333</v>
      </c>
      <c r="G20" s="5">
        <f t="shared" si="2"/>
        <v>0.49309251294014667</v>
      </c>
      <c r="H20" s="5">
        <f t="shared" si="3"/>
        <v>0.4038738426769698</v>
      </c>
      <c r="I20" s="5">
        <f t="shared" si="4"/>
        <v>0.49309251294014644</v>
      </c>
      <c r="J20" s="5">
        <v>0.66666666666666596</v>
      </c>
    </row>
    <row r="21" spans="1:10" ht="14.4" x14ac:dyDescent="0.25">
      <c r="A21" s="8" t="s">
        <v>119</v>
      </c>
      <c r="B21" s="4" t="s">
        <v>29</v>
      </c>
      <c r="C21" s="4">
        <v>0.38680485115313601</v>
      </c>
      <c r="D21" s="5">
        <f t="shared" si="0"/>
        <v>0.66519388138970081</v>
      </c>
      <c r="E21" s="5">
        <v>0.418546365914787</v>
      </c>
      <c r="F21" s="5">
        <f t="shared" si="1"/>
        <v>0.67427554086060926</v>
      </c>
      <c r="G21" s="5">
        <f t="shared" si="2"/>
        <v>0.32572445913939074</v>
      </c>
      <c r="H21" s="5">
        <f t="shared" si="3"/>
        <v>0.37213541252708887</v>
      </c>
      <c r="I21" s="5">
        <f t="shared" si="4"/>
        <v>0.32572445913939069</v>
      </c>
      <c r="J21" s="5">
        <v>0.90239726027397205</v>
      </c>
    </row>
    <row r="22" spans="1:10" ht="14.4" x14ac:dyDescent="0.25">
      <c r="A22" s="8" t="s">
        <v>120</v>
      </c>
      <c r="B22" s="4" t="s">
        <v>30</v>
      </c>
      <c r="C22" s="4">
        <v>0.370701672096101</v>
      </c>
      <c r="D22" s="5">
        <f t="shared" si="0"/>
        <v>0.62904413908964141</v>
      </c>
      <c r="E22" s="5">
        <v>0.309486373165618</v>
      </c>
      <c r="F22" s="5">
        <f t="shared" si="1"/>
        <v>0.49858058425412527</v>
      </c>
      <c r="G22" s="5">
        <f t="shared" si="2"/>
        <v>0.50141941574587467</v>
      </c>
      <c r="H22" s="5">
        <f t="shared" si="3"/>
        <v>0.40545289445574634</v>
      </c>
      <c r="I22" s="5">
        <f t="shared" si="4"/>
        <v>0.50141941574587467</v>
      </c>
      <c r="J22" s="5">
        <v>0.96022727272727204</v>
      </c>
    </row>
    <row r="23" spans="1:10" ht="14.4" x14ac:dyDescent="0.25">
      <c r="A23" s="8" t="s">
        <v>121</v>
      </c>
      <c r="B23" s="4" t="s">
        <v>31</v>
      </c>
      <c r="C23" s="4">
        <v>0.36968445134564898</v>
      </c>
      <c r="D23" s="5">
        <f t="shared" si="0"/>
        <v>0.6267605981899923</v>
      </c>
      <c r="E23" s="5">
        <v>0.37731919727375901</v>
      </c>
      <c r="F23" s="5">
        <f t="shared" si="1"/>
        <v>0.60785883366301219</v>
      </c>
      <c r="G23" s="5">
        <f t="shared" si="2"/>
        <v>0.39214116633698781</v>
      </c>
      <c r="H23" s="5">
        <f t="shared" si="3"/>
        <v>0.38473018180537344</v>
      </c>
      <c r="I23" s="5">
        <f t="shared" si="4"/>
        <v>0.39214116633698803</v>
      </c>
      <c r="J23" s="5">
        <v>0.93333333333333302</v>
      </c>
    </row>
    <row r="24" spans="1:10" ht="14.4" x14ac:dyDescent="0.25">
      <c r="A24" s="8" t="s">
        <v>122</v>
      </c>
      <c r="B24" s="4" t="s">
        <v>32</v>
      </c>
      <c r="C24" s="4">
        <v>0.29889488993486801</v>
      </c>
      <c r="D24" s="5">
        <f t="shared" si="0"/>
        <v>0.46784636184757311</v>
      </c>
      <c r="E24" s="5">
        <v>0.35857050750667702</v>
      </c>
      <c r="F24" s="5">
        <f t="shared" si="1"/>
        <v>0.57765481336170887</v>
      </c>
      <c r="G24" s="5">
        <f t="shared" si="2"/>
        <v>0.42234518663829113</v>
      </c>
      <c r="H24" s="5">
        <f t="shared" si="3"/>
        <v>0.3904578470724841</v>
      </c>
      <c r="I24" s="5">
        <f t="shared" si="4"/>
        <v>0.42234518663829124</v>
      </c>
      <c r="J24" s="5">
        <v>0.66666666666666596</v>
      </c>
    </row>
    <row r="25" spans="1:10" ht="14.4" x14ac:dyDescent="0.25">
      <c r="A25" s="8" t="s">
        <v>123</v>
      </c>
      <c r="B25" s="4" t="s">
        <v>33</v>
      </c>
      <c r="C25" s="4">
        <v>0.35725700304921199</v>
      </c>
      <c r="D25" s="5">
        <f t="shared" si="0"/>
        <v>0.59886243896488911</v>
      </c>
      <c r="E25" s="5">
        <v>0.38328615239443198</v>
      </c>
      <c r="F25" s="5">
        <f t="shared" si="1"/>
        <v>0.61747156051703511</v>
      </c>
      <c r="G25" s="5">
        <f t="shared" si="2"/>
        <v>0.38252843948296489</v>
      </c>
      <c r="H25" s="5">
        <f t="shared" si="3"/>
        <v>0.38290729593869843</v>
      </c>
      <c r="I25" s="5">
        <f t="shared" si="4"/>
        <v>0.38252843948296483</v>
      </c>
      <c r="J25" s="5">
        <v>0.93617021276595702</v>
      </c>
    </row>
    <row r="26" spans="1:10" ht="14.4" x14ac:dyDescent="0.25">
      <c r="A26" s="8" t="s">
        <v>124</v>
      </c>
      <c r="B26" s="4" t="s">
        <v>34</v>
      </c>
      <c r="C26" s="4">
        <v>0.36579537705281501</v>
      </c>
      <c r="D26" s="5">
        <f t="shared" si="0"/>
        <v>0.61803008398694026</v>
      </c>
      <c r="E26" s="5">
        <v>0.33815067576609098</v>
      </c>
      <c r="F26" s="5">
        <f t="shared" si="1"/>
        <v>0.54475859394029957</v>
      </c>
      <c r="G26" s="5">
        <f t="shared" si="2"/>
        <v>0.45524140605970043</v>
      </c>
      <c r="H26" s="5">
        <f t="shared" si="3"/>
        <v>0.39669604091289568</v>
      </c>
      <c r="I26" s="5">
        <f t="shared" si="4"/>
        <v>0.45524140605970032</v>
      </c>
      <c r="J26" s="5">
        <v>0.8</v>
      </c>
    </row>
    <row r="27" spans="1:10" ht="14.4" x14ac:dyDescent="0.25">
      <c r="A27" s="8" t="s">
        <v>1</v>
      </c>
      <c r="B27" s="4" t="s">
        <v>35</v>
      </c>
      <c r="C27" s="4">
        <v>0.16837852750975099</v>
      </c>
      <c r="D27" s="5">
        <f t="shared" si="0"/>
        <v>0.1748524846200879</v>
      </c>
      <c r="E27" s="5">
        <v>4.1666666666666602E-2</v>
      </c>
      <c r="F27" s="5">
        <f t="shared" si="1"/>
        <v>6.7124735729386889E-2</v>
      </c>
      <c r="G27" s="5">
        <f t="shared" si="2"/>
        <v>0.93287526427061307</v>
      </c>
      <c r="H27" s="5">
        <f t="shared" si="3"/>
        <v>0.48727096546863985</v>
      </c>
      <c r="I27" s="5">
        <f t="shared" si="4"/>
        <v>0.93287526427061307</v>
      </c>
      <c r="J27" s="5">
        <v>0.87962962962962898</v>
      </c>
    </row>
    <row r="28" spans="1:10" ht="14.4" x14ac:dyDescent="0.25">
      <c r="A28" s="8" t="s">
        <v>125</v>
      </c>
      <c r="B28" s="4" t="s">
        <v>36</v>
      </c>
      <c r="C28" s="4">
        <v>0.37659449380353599</v>
      </c>
      <c r="D28" s="5">
        <f t="shared" si="0"/>
        <v>0.64227283047967521</v>
      </c>
      <c r="E28" s="5">
        <v>0.302215457466599</v>
      </c>
      <c r="F28" s="5">
        <f t="shared" si="1"/>
        <v>0.48686718517875005</v>
      </c>
      <c r="G28" s="5">
        <f t="shared" si="2"/>
        <v>0.51313281482124995</v>
      </c>
      <c r="H28" s="5">
        <f t="shared" si="3"/>
        <v>0.40767413614392445</v>
      </c>
      <c r="I28" s="5">
        <f t="shared" si="4"/>
        <v>0.51313281482124984</v>
      </c>
      <c r="J28" s="5">
        <v>0.75</v>
      </c>
    </row>
    <row r="29" spans="1:10" ht="14.4" x14ac:dyDescent="0.25">
      <c r="A29" s="8" t="s">
        <v>126</v>
      </c>
      <c r="B29" s="4" t="s">
        <v>37</v>
      </c>
      <c r="C29" s="4">
        <v>0.33639625902971199</v>
      </c>
      <c r="D29" s="5">
        <f t="shared" si="0"/>
        <v>0.55203252309414808</v>
      </c>
      <c r="E29" s="5">
        <v>0.25937623371496199</v>
      </c>
      <c r="F29" s="5">
        <f t="shared" si="1"/>
        <v>0.41785346742241297</v>
      </c>
      <c r="G29" s="5">
        <f t="shared" si="2"/>
        <v>0.58214653257758697</v>
      </c>
      <c r="H29" s="5">
        <f t="shared" si="3"/>
        <v>0.42076138314627448</v>
      </c>
      <c r="I29" s="5">
        <f t="shared" si="4"/>
        <v>0.58214653257758686</v>
      </c>
      <c r="J29" s="5">
        <v>0.8</v>
      </c>
    </row>
    <row r="30" spans="1:10" ht="14.4" x14ac:dyDescent="0.25">
      <c r="A30" s="8" t="s">
        <v>180</v>
      </c>
      <c r="B30" s="4" t="s">
        <v>38</v>
      </c>
      <c r="C30" s="4">
        <v>0.35482664857713903</v>
      </c>
      <c r="D30" s="5">
        <f t="shared" si="0"/>
        <v>0.5934065791280172</v>
      </c>
      <c r="E30" s="5">
        <v>0.29614093959731502</v>
      </c>
      <c r="F30" s="5">
        <f t="shared" si="1"/>
        <v>0.47708117541893102</v>
      </c>
      <c r="G30" s="5">
        <f t="shared" si="2"/>
        <v>0.52291882458106898</v>
      </c>
      <c r="H30" s="5">
        <f t="shared" si="3"/>
        <v>0.409529882089192</v>
      </c>
      <c r="I30" s="5">
        <f t="shared" si="4"/>
        <v>0.52291882458106898</v>
      </c>
      <c r="J30" s="5">
        <v>0.97435897435897401</v>
      </c>
    </row>
    <row r="31" spans="1:10" ht="14.4" x14ac:dyDescent="0.25">
      <c r="A31" s="8" t="s">
        <v>127</v>
      </c>
      <c r="B31" s="4" t="s">
        <v>39</v>
      </c>
      <c r="C31" s="4">
        <v>0.36101460195503698</v>
      </c>
      <c r="D31" s="5">
        <f t="shared" si="0"/>
        <v>0.60729780639336073</v>
      </c>
      <c r="E31" s="5">
        <v>0.377683415899976</v>
      </c>
      <c r="F31" s="5">
        <f t="shared" si="1"/>
        <v>0.60844558755979306</v>
      </c>
      <c r="G31" s="5">
        <f t="shared" si="2"/>
        <v>0.39155441244020694</v>
      </c>
      <c r="H31" s="5">
        <f t="shared" si="3"/>
        <v>0.38461891417009147</v>
      </c>
      <c r="I31" s="5">
        <f t="shared" si="4"/>
        <v>0.39155441244020706</v>
      </c>
      <c r="J31" s="5">
        <v>0.98936170212765895</v>
      </c>
    </row>
    <row r="32" spans="1:10" ht="14.4" x14ac:dyDescent="0.25">
      <c r="A32" s="8" t="s">
        <v>128</v>
      </c>
      <c r="B32" s="4" t="s">
        <v>40</v>
      </c>
      <c r="C32" s="4">
        <v>0.33789711976492098</v>
      </c>
      <c r="D32" s="5">
        <f t="shared" si="0"/>
        <v>0.55540177885500852</v>
      </c>
      <c r="E32" s="5">
        <v>0.34095246619708403</v>
      </c>
      <c r="F32" s="5">
        <f t="shared" si="1"/>
        <v>0.54927226055428835</v>
      </c>
      <c r="G32" s="5">
        <f t="shared" si="2"/>
        <v>0.45072773944571165</v>
      </c>
      <c r="H32" s="5">
        <f t="shared" si="3"/>
        <v>0.39584010282139781</v>
      </c>
      <c r="I32" s="5">
        <f t="shared" si="4"/>
        <v>0.45072773944571159</v>
      </c>
      <c r="J32" s="5">
        <v>0.66666666666666596</v>
      </c>
    </row>
    <row r="33" spans="1:10" ht="14.4" x14ac:dyDescent="0.25">
      <c r="A33" s="8" t="s">
        <v>129</v>
      </c>
      <c r="B33" s="4" t="s">
        <v>41</v>
      </c>
      <c r="C33" s="4">
        <v>0.33919360867002801</v>
      </c>
      <c r="D33" s="5">
        <f t="shared" si="0"/>
        <v>0.55831224390346312</v>
      </c>
      <c r="E33" s="5">
        <v>0.31077318483615302</v>
      </c>
      <c r="F33" s="5">
        <f t="shared" si="1"/>
        <v>0.50065362969376104</v>
      </c>
      <c r="G33" s="5">
        <f t="shared" si="2"/>
        <v>0.49934637030623896</v>
      </c>
      <c r="H33" s="5">
        <f t="shared" si="3"/>
        <v>0.40505977757119599</v>
      </c>
      <c r="I33" s="5">
        <f t="shared" si="4"/>
        <v>0.49934637030623891</v>
      </c>
      <c r="J33" s="5">
        <v>0.8</v>
      </c>
    </row>
    <row r="34" spans="1:10" ht="14.4" x14ac:dyDescent="0.25">
      <c r="A34" s="8" t="s">
        <v>130</v>
      </c>
      <c r="B34" s="4" t="s">
        <v>42</v>
      </c>
      <c r="C34" s="4">
        <v>0.30301078782968199</v>
      </c>
      <c r="D34" s="5">
        <f t="shared" si="0"/>
        <v>0.47708606834924555</v>
      </c>
      <c r="E34" s="5">
        <v>0.28845756762337299</v>
      </c>
      <c r="F34" s="5">
        <f t="shared" si="1"/>
        <v>0.46470331190065656</v>
      </c>
      <c r="G34" s="5">
        <f t="shared" si="2"/>
        <v>0.5352966880993435</v>
      </c>
      <c r="H34" s="5">
        <f t="shared" si="3"/>
        <v>0.41187712786135822</v>
      </c>
      <c r="I34" s="5">
        <f t="shared" si="4"/>
        <v>0.53529668809934339</v>
      </c>
      <c r="J34" s="5">
        <v>0.66666666666666596</v>
      </c>
    </row>
    <row r="35" spans="1:10" ht="14.4" x14ac:dyDescent="0.25">
      <c r="A35" s="8" t="s">
        <v>131</v>
      </c>
      <c r="B35" s="4" t="s">
        <v>43</v>
      </c>
      <c r="C35" s="4">
        <v>0.42761807749064501</v>
      </c>
      <c r="D35" s="5">
        <f t="shared" si="0"/>
        <v>0.75681477247644502</v>
      </c>
      <c r="E35" s="5">
        <v>0.39986342795824797</v>
      </c>
      <c r="F35" s="5">
        <f t="shared" si="1"/>
        <v>0.64417744630906004</v>
      </c>
      <c r="G35" s="5">
        <f t="shared" si="2"/>
        <v>0.35582255369093996</v>
      </c>
      <c r="H35" s="5">
        <f t="shared" si="3"/>
        <v>0.37784299082459394</v>
      </c>
      <c r="I35" s="5">
        <f t="shared" si="4"/>
        <v>0.35582255369093985</v>
      </c>
      <c r="J35" s="5">
        <v>0.63636363636363602</v>
      </c>
    </row>
    <row r="36" spans="1:10" ht="14.4" x14ac:dyDescent="0.25">
      <c r="A36" s="8" t="s">
        <v>132</v>
      </c>
      <c r="B36" s="4" t="s">
        <v>44</v>
      </c>
      <c r="C36" s="4">
        <v>0.53594679613910901</v>
      </c>
      <c r="D36" s="5">
        <f t="shared" si="0"/>
        <v>1</v>
      </c>
      <c r="E36" s="5">
        <v>4.0540540540540501E-2</v>
      </c>
      <c r="F36" s="5">
        <f t="shared" si="1"/>
        <v>6.5310553682646738E-2</v>
      </c>
      <c r="G36" s="5">
        <f t="shared" si="2"/>
        <v>0.93468944631735329</v>
      </c>
      <c r="H36" s="5">
        <f t="shared" si="3"/>
        <v>0.48761499342894687</v>
      </c>
      <c r="I36" s="5">
        <f t="shared" si="4"/>
        <v>0.93468944631735318</v>
      </c>
      <c r="J36" s="5">
        <v>0.96588971006253499</v>
      </c>
    </row>
    <row r="37" spans="1:10" ht="14.4" x14ac:dyDescent="0.25">
      <c r="A37" s="8" t="s">
        <v>2</v>
      </c>
      <c r="B37" s="4" t="s">
        <v>45</v>
      </c>
      <c r="C37" s="4">
        <v>0.33901715015929201</v>
      </c>
      <c r="D37" s="5">
        <f t="shared" si="0"/>
        <v>0.55791611530878216</v>
      </c>
      <c r="E37" s="5">
        <v>0.33221209170576199</v>
      </c>
      <c r="F37" s="5">
        <f t="shared" si="1"/>
        <v>0.53519157268454765</v>
      </c>
      <c r="G37" s="5">
        <f t="shared" si="2"/>
        <v>0.46480842731545235</v>
      </c>
      <c r="H37" s="5">
        <f t="shared" si="3"/>
        <v>0.39851025951060715</v>
      </c>
      <c r="I37" s="5">
        <f t="shared" si="4"/>
        <v>0.46480842731545213</v>
      </c>
      <c r="J37" s="5">
        <v>0.66666666666666596</v>
      </c>
    </row>
    <row r="38" spans="1:10" ht="14.4" x14ac:dyDescent="0.25">
      <c r="A38" s="8" t="s">
        <v>133</v>
      </c>
      <c r="B38" s="4" t="s">
        <v>46</v>
      </c>
      <c r="C38" s="4">
        <v>0.37614236609873197</v>
      </c>
      <c r="D38" s="5">
        <f t="shared" si="0"/>
        <v>0.64125785697925686</v>
      </c>
      <c r="E38" s="5">
        <v>0.292258952019675</v>
      </c>
      <c r="F38" s="5">
        <f t="shared" si="1"/>
        <v>0.47082731805283867</v>
      </c>
      <c r="G38" s="5">
        <f t="shared" si="2"/>
        <v>0.52917268194716138</v>
      </c>
      <c r="H38" s="5">
        <f t="shared" si="3"/>
        <v>0.41071581698341819</v>
      </c>
      <c r="I38" s="5">
        <f t="shared" si="4"/>
        <v>0.52917268194716138</v>
      </c>
      <c r="J38" s="5">
        <v>0.92307692307692302</v>
      </c>
    </row>
    <row r="39" spans="1:10" ht="14.4" x14ac:dyDescent="0.25">
      <c r="A39" s="8" t="s">
        <v>134</v>
      </c>
      <c r="B39" s="4" t="s">
        <v>47</v>
      </c>
      <c r="C39" s="4">
        <v>0.34780697028394902</v>
      </c>
      <c r="D39" s="5">
        <f t="shared" si="0"/>
        <v>0.57764822728771537</v>
      </c>
      <c r="E39" s="5">
        <v>0</v>
      </c>
      <c r="F39" s="5">
        <f t="shared" si="1"/>
        <v>0</v>
      </c>
      <c r="G39" s="5">
        <f t="shared" si="2"/>
        <v>1</v>
      </c>
      <c r="H39" s="5">
        <f t="shared" si="3"/>
        <v>0.5</v>
      </c>
      <c r="I39" s="5">
        <f t="shared" si="4"/>
        <v>1</v>
      </c>
      <c r="J39" s="5">
        <v>0.66666666666666596</v>
      </c>
    </row>
    <row r="40" spans="1:10" ht="14.4" x14ac:dyDescent="0.25">
      <c r="A40" s="8" t="s">
        <v>135</v>
      </c>
      <c r="B40" s="4" t="s">
        <v>48</v>
      </c>
      <c r="C40" s="4">
        <v>0.40012588410083699</v>
      </c>
      <c r="D40" s="5">
        <f t="shared" si="0"/>
        <v>0.69509803301866835</v>
      </c>
      <c r="E40" s="5">
        <v>0.40416339355852299</v>
      </c>
      <c r="F40" s="5">
        <f t="shared" si="1"/>
        <v>0.65110466361859398</v>
      </c>
      <c r="G40" s="5">
        <f t="shared" si="2"/>
        <v>0.34889533638140602</v>
      </c>
      <c r="H40" s="5">
        <f t="shared" si="3"/>
        <v>0.37652936496996448</v>
      </c>
      <c r="I40" s="5">
        <f t="shared" si="4"/>
        <v>0.34889533638140596</v>
      </c>
      <c r="J40" s="5">
        <v>0.79020979020978999</v>
      </c>
    </row>
    <row r="41" spans="1:10" ht="14.4" x14ac:dyDescent="0.25">
      <c r="A41" s="8" t="s">
        <v>181</v>
      </c>
      <c r="B41" s="4" t="s">
        <v>49</v>
      </c>
      <c r="C41" s="4">
        <v>0.190075550483574</v>
      </c>
      <c r="D41" s="5">
        <f t="shared" si="0"/>
        <v>0.22355974834758849</v>
      </c>
      <c r="E41" s="5">
        <v>0.62073490813648202</v>
      </c>
      <c r="F41" s="5">
        <f t="shared" si="1"/>
        <v>1</v>
      </c>
      <c r="G41" s="5">
        <f t="shared" si="2"/>
        <v>0</v>
      </c>
      <c r="H41" s="5">
        <f t="shared" si="3"/>
        <v>0.31036745406824101</v>
      </c>
      <c r="I41" s="5">
        <f t="shared" si="4"/>
        <v>0</v>
      </c>
      <c r="J41" s="5">
        <v>0.66666666666666596</v>
      </c>
    </row>
    <row r="42" spans="1:10" ht="14.4" x14ac:dyDescent="0.25">
      <c r="A42" s="8" t="s">
        <v>182</v>
      </c>
      <c r="B42" s="4" t="s">
        <v>50</v>
      </c>
      <c r="C42" s="4">
        <v>0.307788152003247</v>
      </c>
      <c r="D42" s="5">
        <f t="shared" si="0"/>
        <v>0.48781068881929263</v>
      </c>
      <c r="E42" s="5">
        <v>0.36041966037794099</v>
      </c>
      <c r="F42" s="5">
        <f t="shared" si="1"/>
        <v>0.58063378690907286</v>
      </c>
      <c r="G42" s="5">
        <f t="shared" si="2"/>
        <v>0.41936621309092714</v>
      </c>
      <c r="H42" s="5">
        <f t="shared" si="3"/>
        <v>0.38989293673443404</v>
      </c>
      <c r="I42" s="5">
        <f t="shared" si="4"/>
        <v>0.41936621309092692</v>
      </c>
      <c r="J42" s="5">
        <v>0.88888888888888795</v>
      </c>
    </row>
    <row r="43" spans="1:10" ht="14.4" x14ac:dyDescent="0.25">
      <c r="A43" s="8" t="s">
        <v>3</v>
      </c>
      <c r="B43" s="4" t="s">
        <v>51</v>
      </c>
      <c r="C43" s="4">
        <v>0.41761392728322599</v>
      </c>
      <c r="D43" s="5">
        <f t="shared" si="0"/>
        <v>0.7343566323385019</v>
      </c>
      <c r="E43" s="5">
        <v>0.38095238095237999</v>
      </c>
      <c r="F43" s="5">
        <f t="shared" si="1"/>
        <v>0.61371186952582235</v>
      </c>
      <c r="G43" s="5">
        <f t="shared" si="2"/>
        <v>0.38628813047417765</v>
      </c>
      <c r="H43" s="5">
        <f t="shared" si="3"/>
        <v>0.38362025571327885</v>
      </c>
      <c r="I43" s="5">
        <f t="shared" si="4"/>
        <v>0.38628813047417782</v>
      </c>
      <c r="J43" s="5">
        <v>0.98809523809523803</v>
      </c>
    </row>
    <row r="44" spans="1:10" ht="14.4" x14ac:dyDescent="0.25">
      <c r="A44" s="8" t="s">
        <v>136</v>
      </c>
      <c r="B44" s="4" t="s">
        <v>52</v>
      </c>
      <c r="C44" s="4">
        <v>0.35591602048305598</v>
      </c>
      <c r="D44" s="5">
        <f t="shared" si="0"/>
        <v>0.59585209088245672</v>
      </c>
      <c r="E44" s="5">
        <v>0.33127498114207499</v>
      </c>
      <c r="F44" s="5">
        <f t="shared" si="1"/>
        <v>0.53368189351006667</v>
      </c>
      <c r="G44" s="5">
        <f t="shared" si="2"/>
        <v>0.46631810648993333</v>
      </c>
      <c r="H44" s="5">
        <f t="shared" si="3"/>
        <v>0.39879654381600416</v>
      </c>
      <c r="I44" s="5">
        <f t="shared" si="4"/>
        <v>0.46631810648993327</v>
      </c>
      <c r="J44" s="5">
        <v>0.86046511627906896</v>
      </c>
    </row>
    <row r="45" spans="1:10" ht="14.4" x14ac:dyDescent="0.25">
      <c r="A45" s="8" t="s">
        <v>137</v>
      </c>
      <c r="B45" s="4" t="s">
        <v>53</v>
      </c>
      <c r="C45" s="4">
        <v>0.35545249745992802</v>
      </c>
      <c r="D45" s="5">
        <f t="shared" si="0"/>
        <v>0.59481153623316219</v>
      </c>
      <c r="E45" s="5">
        <v>0.37299771167048001</v>
      </c>
      <c r="F45" s="5">
        <f t="shared" si="1"/>
        <v>0.60089694776512936</v>
      </c>
      <c r="G45" s="5">
        <f t="shared" si="2"/>
        <v>0.39910305223487064</v>
      </c>
      <c r="H45" s="5">
        <f t="shared" si="3"/>
        <v>0.38605038195267533</v>
      </c>
      <c r="I45" s="5">
        <f t="shared" si="4"/>
        <v>0.39910305223487064</v>
      </c>
      <c r="J45" s="5">
        <v>0.959595959595959</v>
      </c>
    </row>
    <row r="46" spans="1:10" ht="14.4" x14ac:dyDescent="0.25">
      <c r="A46" s="8" t="s">
        <v>183</v>
      </c>
      <c r="B46" s="4" t="s">
        <v>54</v>
      </c>
      <c r="C46" s="4">
        <v>0.37372647556474797</v>
      </c>
      <c r="D46" s="5">
        <f t="shared" si="0"/>
        <v>0.63583446698158297</v>
      </c>
      <c r="E46" s="5">
        <v>0.33398389190484101</v>
      </c>
      <c r="F46" s="5">
        <f t="shared" si="1"/>
        <v>0.53804593156763048</v>
      </c>
      <c r="G46" s="5">
        <f t="shared" si="2"/>
        <v>0.46195406843236952</v>
      </c>
      <c r="H46" s="5">
        <f t="shared" si="3"/>
        <v>0.39796898016860527</v>
      </c>
      <c r="I46" s="5">
        <f t="shared" si="4"/>
        <v>0.46195406843236958</v>
      </c>
      <c r="J46" s="5">
        <v>0.85714285714285698</v>
      </c>
    </row>
    <row r="47" spans="1:10" ht="14.4" x14ac:dyDescent="0.25">
      <c r="A47" s="8" t="s">
        <v>138</v>
      </c>
      <c r="B47" s="4" t="s">
        <v>55</v>
      </c>
      <c r="C47" s="4">
        <v>0.37712487732981098</v>
      </c>
      <c r="D47" s="5">
        <f t="shared" si="0"/>
        <v>0.64346347909179891</v>
      </c>
      <c r="E47" s="5">
        <v>0.39986342795824797</v>
      </c>
      <c r="F47" s="5">
        <f t="shared" si="1"/>
        <v>0.64417744630906004</v>
      </c>
      <c r="G47" s="5">
        <f t="shared" si="2"/>
        <v>0.35582255369093996</v>
      </c>
      <c r="H47" s="5">
        <f t="shared" si="3"/>
        <v>0.37784299082459394</v>
      </c>
      <c r="I47" s="5">
        <f t="shared" si="4"/>
        <v>0.35582255369093985</v>
      </c>
      <c r="J47" s="5">
        <v>0.91267123287671204</v>
      </c>
    </row>
    <row r="48" spans="1:10" ht="14.4" x14ac:dyDescent="0.25">
      <c r="A48" s="8" t="s">
        <v>139</v>
      </c>
      <c r="B48" s="4" t="s">
        <v>56</v>
      </c>
      <c r="C48" s="4">
        <v>0.31280688953326902</v>
      </c>
      <c r="D48" s="5">
        <f t="shared" si="0"/>
        <v>0.49907716407485231</v>
      </c>
      <c r="E48" s="5">
        <v>0.294820598907437</v>
      </c>
      <c r="F48" s="5">
        <f t="shared" si="1"/>
        <v>0.47495411494179141</v>
      </c>
      <c r="G48" s="5">
        <f t="shared" si="2"/>
        <v>0.52504588505820859</v>
      </c>
      <c r="H48" s="5">
        <f t="shared" si="3"/>
        <v>0.40993324198282277</v>
      </c>
      <c r="I48" s="5">
        <f t="shared" si="4"/>
        <v>0.52504588505820837</v>
      </c>
      <c r="J48" s="5">
        <v>0.90909090909090895</v>
      </c>
    </row>
    <row r="49" spans="1:10" ht="14.4" x14ac:dyDescent="0.25">
      <c r="A49" s="8" t="s">
        <v>140</v>
      </c>
      <c r="B49" s="4" t="s">
        <v>57</v>
      </c>
      <c r="C49" s="4">
        <v>0.33919449156632703</v>
      </c>
      <c r="D49" s="5">
        <f t="shared" si="0"/>
        <v>0.55831422590177371</v>
      </c>
      <c r="E49" s="5">
        <v>0.31858599002385601</v>
      </c>
      <c r="F49" s="5">
        <f t="shared" si="1"/>
        <v>0.51324000929847491</v>
      </c>
      <c r="G49" s="5">
        <f t="shared" si="2"/>
        <v>0.48675999070152509</v>
      </c>
      <c r="H49" s="5">
        <f t="shared" si="3"/>
        <v>0.40267299036269055</v>
      </c>
      <c r="I49" s="5">
        <f t="shared" si="4"/>
        <v>0.48675999070152515</v>
      </c>
      <c r="J49" s="5">
        <v>0.75</v>
      </c>
    </row>
    <row r="50" spans="1:10" ht="14.4" x14ac:dyDescent="0.25">
      <c r="A50" s="8" t="s">
        <v>141</v>
      </c>
      <c r="B50" s="4" t="s">
        <v>58</v>
      </c>
      <c r="C50" s="4">
        <v>0.29968889765303097</v>
      </c>
      <c r="D50" s="5">
        <f t="shared" si="0"/>
        <v>0.46962881575274218</v>
      </c>
      <c r="E50" s="5">
        <v>0.30536130536130501</v>
      </c>
      <c r="F50" s="5">
        <f t="shared" si="1"/>
        <v>0.49193512618459784</v>
      </c>
      <c r="G50" s="5">
        <f t="shared" si="2"/>
        <v>0.50806487381540211</v>
      </c>
      <c r="H50" s="5">
        <f t="shared" si="3"/>
        <v>0.40671308958835356</v>
      </c>
      <c r="I50" s="5">
        <f t="shared" si="4"/>
        <v>0.508064873815402</v>
      </c>
      <c r="J50" s="5">
        <v>0.66666666666666596</v>
      </c>
    </row>
    <row r="51" spans="1:10" ht="14.4" x14ac:dyDescent="0.25">
      <c r="A51" s="8" t="s">
        <v>142</v>
      </c>
      <c r="B51" s="4" t="s">
        <v>59</v>
      </c>
      <c r="C51" s="4">
        <v>0.40056075220903298</v>
      </c>
      <c r="D51" s="5">
        <f t="shared" si="0"/>
        <v>0.69607426075544754</v>
      </c>
      <c r="E51" s="5">
        <v>0.32150930272995998</v>
      </c>
      <c r="F51" s="5">
        <f t="shared" si="1"/>
        <v>0.51794944752691308</v>
      </c>
      <c r="G51" s="5">
        <f t="shared" si="2"/>
        <v>0.48205055247308692</v>
      </c>
      <c r="H51" s="5">
        <f t="shared" si="3"/>
        <v>0.40177992760152348</v>
      </c>
      <c r="I51" s="5">
        <f t="shared" si="4"/>
        <v>0.48205055247308698</v>
      </c>
      <c r="J51" s="5">
        <v>0.8</v>
      </c>
    </row>
    <row r="52" spans="1:10" ht="14.4" x14ac:dyDescent="0.25">
      <c r="A52" s="8" t="s">
        <v>143</v>
      </c>
      <c r="B52" s="4" t="s">
        <v>60</v>
      </c>
      <c r="C52" s="4">
        <v>0.36500749859491399</v>
      </c>
      <c r="D52" s="5">
        <f t="shared" si="0"/>
        <v>0.61626138954989695</v>
      </c>
      <c r="E52" s="5">
        <v>0.360450101457295</v>
      </c>
      <c r="F52" s="5">
        <f t="shared" si="1"/>
        <v>0.58068282729483978</v>
      </c>
      <c r="G52" s="5">
        <f t="shared" si="2"/>
        <v>0.41931717270516022</v>
      </c>
      <c r="H52" s="5">
        <f t="shared" si="3"/>
        <v>0.38988363708122764</v>
      </c>
      <c r="I52" s="5">
        <f t="shared" si="4"/>
        <v>0.41931717270516033</v>
      </c>
      <c r="J52" s="5">
        <v>0.92307692307692302</v>
      </c>
    </row>
    <row r="53" spans="1:10" ht="14.4" x14ac:dyDescent="0.25">
      <c r="A53" s="8" t="s">
        <v>144</v>
      </c>
      <c r="B53" s="4" t="s">
        <v>61</v>
      </c>
      <c r="C53" s="4">
        <v>0.30874274186339901</v>
      </c>
      <c r="D53" s="5">
        <f t="shared" si="0"/>
        <v>0.48995363073930243</v>
      </c>
      <c r="E53" s="5">
        <v>0.37775043143321602</v>
      </c>
      <c r="F53" s="5">
        <f t="shared" si="1"/>
        <v>0.60855354915879711</v>
      </c>
      <c r="G53" s="5">
        <f t="shared" si="2"/>
        <v>0.39144645084120289</v>
      </c>
      <c r="H53" s="5">
        <f t="shared" si="3"/>
        <v>0.38459844113720942</v>
      </c>
      <c r="I53" s="5">
        <f t="shared" si="4"/>
        <v>0.39144645084120272</v>
      </c>
      <c r="J53" s="5">
        <v>0.75</v>
      </c>
    </row>
    <row r="54" spans="1:10" ht="14.4" x14ac:dyDescent="0.25">
      <c r="A54" s="8" t="s">
        <v>145</v>
      </c>
      <c r="B54" s="4" t="s">
        <v>62</v>
      </c>
      <c r="C54" s="4">
        <v>0.310502099941947</v>
      </c>
      <c r="D54" s="5">
        <f t="shared" si="0"/>
        <v>0.49390318262143545</v>
      </c>
      <c r="E54" s="5">
        <v>0.25</v>
      </c>
      <c r="F54" s="5">
        <f t="shared" si="1"/>
        <v>0.40274841437632197</v>
      </c>
      <c r="G54" s="5">
        <f t="shared" si="2"/>
        <v>0.59725158562367797</v>
      </c>
      <c r="H54" s="5">
        <f t="shared" si="3"/>
        <v>0.42362579281183899</v>
      </c>
      <c r="I54" s="5">
        <f t="shared" si="4"/>
        <v>0.59725158562367786</v>
      </c>
      <c r="J54" s="5">
        <v>8.81711416571863E-2</v>
      </c>
    </row>
    <row r="55" spans="1:10" ht="14.4" x14ac:dyDescent="0.25">
      <c r="A55" s="8" t="s">
        <v>146</v>
      </c>
      <c r="B55" s="4" t="s">
        <v>63</v>
      </c>
      <c r="C55" s="4">
        <v>0.39884168653984903</v>
      </c>
      <c r="D55" s="5">
        <f t="shared" si="0"/>
        <v>0.69221516059157462</v>
      </c>
      <c r="E55" s="5">
        <v>0.36686968245850499</v>
      </c>
      <c r="F55" s="5">
        <f t="shared" si="1"/>
        <v>0.59102473157163049</v>
      </c>
      <c r="G55" s="5">
        <f t="shared" si="2"/>
        <v>0.40897526842836951</v>
      </c>
      <c r="H55" s="5">
        <f t="shared" si="3"/>
        <v>0.38792247544343728</v>
      </c>
      <c r="I55" s="5">
        <f t="shared" si="4"/>
        <v>0.40897526842836962</v>
      </c>
      <c r="J55" s="5">
        <v>0.87830687830687804</v>
      </c>
    </row>
    <row r="56" spans="1:10" ht="14.4" x14ac:dyDescent="0.25">
      <c r="A56" s="8" t="s">
        <v>147</v>
      </c>
      <c r="B56" s="4" t="s">
        <v>64</v>
      </c>
      <c r="C56" s="4">
        <v>0.37664593339795599</v>
      </c>
      <c r="D56" s="5">
        <f t="shared" si="0"/>
        <v>0.64238830631681987</v>
      </c>
      <c r="E56" s="5">
        <v>0.360450101457295</v>
      </c>
      <c r="F56" s="5">
        <f t="shared" si="1"/>
        <v>0.58068282729483978</v>
      </c>
      <c r="G56" s="5">
        <f t="shared" si="2"/>
        <v>0.41931717270516022</v>
      </c>
      <c r="H56" s="5">
        <f t="shared" si="3"/>
        <v>0.38988363708122764</v>
      </c>
      <c r="I56" s="5">
        <f t="shared" si="4"/>
        <v>0.41931717270516033</v>
      </c>
      <c r="J56" s="5">
        <v>0.96551724137931005</v>
      </c>
    </row>
    <row r="57" spans="1:10" ht="14.4" x14ac:dyDescent="0.25">
      <c r="A57" s="8" t="s">
        <v>148</v>
      </c>
      <c r="B57" s="4" t="s">
        <v>65</v>
      </c>
      <c r="C57" s="4">
        <v>0.38270630612386403</v>
      </c>
      <c r="D57" s="5">
        <f t="shared" si="0"/>
        <v>0.65599313002945037</v>
      </c>
      <c r="E57" s="5">
        <v>0.40531856745265998</v>
      </c>
      <c r="F57" s="5">
        <f t="shared" si="1"/>
        <v>0.6529656414353644</v>
      </c>
      <c r="G57" s="5">
        <f t="shared" si="2"/>
        <v>0.3470343585646356</v>
      </c>
      <c r="H57" s="5">
        <f t="shared" si="3"/>
        <v>0.37617646300864782</v>
      </c>
      <c r="I57" s="5">
        <f t="shared" si="4"/>
        <v>0.34703435856463577</v>
      </c>
      <c r="J57" s="5">
        <v>0.94318181818181801</v>
      </c>
    </row>
    <row r="58" spans="1:10" ht="14.4" x14ac:dyDescent="0.25">
      <c r="A58" s="8" t="s">
        <v>149</v>
      </c>
      <c r="B58" s="4" t="s">
        <v>66</v>
      </c>
      <c r="C58" s="4">
        <v>0.33526483938628898</v>
      </c>
      <c r="D58" s="5">
        <f t="shared" si="0"/>
        <v>0.54949261911629976</v>
      </c>
      <c r="E58" s="5">
        <v>0.43784786641929402</v>
      </c>
      <c r="F58" s="5">
        <f t="shared" si="1"/>
        <v>0.70537013575370511</v>
      </c>
      <c r="G58" s="5">
        <f t="shared" si="2"/>
        <v>0.29462986424629489</v>
      </c>
      <c r="H58" s="5">
        <f t="shared" si="3"/>
        <v>0.36623886533279448</v>
      </c>
      <c r="I58" s="5">
        <f t="shared" si="4"/>
        <v>0.29462986424629511</v>
      </c>
      <c r="J58" s="5">
        <v>0.66666666666666596</v>
      </c>
    </row>
    <row r="59" spans="1:10" ht="14.4" x14ac:dyDescent="0.25">
      <c r="A59" s="8" t="s">
        <v>150</v>
      </c>
      <c r="B59" s="4" t="s">
        <v>67</v>
      </c>
      <c r="C59" s="4">
        <v>0.36306223720229303</v>
      </c>
      <c r="D59" s="5">
        <f t="shared" si="0"/>
        <v>0.61189450660085709</v>
      </c>
      <c r="E59" s="5">
        <v>0.347665383928769</v>
      </c>
      <c r="F59" s="5">
        <f t="shared" si="1"/>
        <v>0.56008672844338769</v>
      </c>
      <c r="G59" s="5">
        <f t="shared" si="2"/>
        <v>0.43991327155661231</v>
      </c>
      <c r="H59" s="5">
        <f t="shared" si="3"/>
        <v>0.39378932774269065</v>
      </c>
      <c r="I59" s="5">
        <f t="shared" si="4"/>
        <v>0.43991327155661225</v>
      </c>
      <c r="J59" s="5">
        <v>0.938405797101449</v>
      </c>
    </row>
    <row r="60" spans="1:10" ht="14.4" x14ac:dyDescent="0.25">
      <c r="A60" s="8" t="s">
        <v>151</v>
      </c>
      <c r="B60" s="4" t="s">
        <v>68</v>
      </c>
      <c r="C60" s="4">
        <v>0.29275784823217499</v>
      </c>
      <c r="D60" s="5">
        <f t="shared" si="0"/>
        <v>0.45406942530285094</v>
      </c>
      <c r="E60" s="5">
        <v>0.32922535211267601</v>
      </c>
      <c r="F60" s="5">
        <f t="shared" si="1"/>
        <v>0.53037995414346617</v>
      </c>
      <c r="G60" s="5">
        <f t="shared" si="2"/>
        <v>0.46962004585653383</v>
      </c>
      <c r="H60" s="5">
        <f t="shared" si="3"/>
        <v>0.39942269898460492</v>
      </c>
      <c r="I60" s="5">
        <f t="shared" si="4"/>
        <v>0.46962004585653377</v>
      </c>
      <c r="J60" s="5">
        <v>0.8125</v>
      </c>
    </row>
    <row r="61" spans="1:10" ht="14.4" x14ac:dyDescent="0.25">
      <c r="A61" s="8" t="s">
        <v>152</v>
      </c>
      <c r="B61" s="4" t="s">
        <v>69</v>
      </c>
      <c r="C61" s="4">
        <v>0.35471063848196099</v>
      </c>
      <c r="D61" s="5">
        <f t="shared" si="0"/>
        <v>0.59314615011396743</v>
      </c>
      <c r="E61" s="5">
        <v>0.33234613049186901</v>
      </c>
      <c r="F61" s="5">
        <f t="shared" si="1"/>
        <v>0.53540750831882566</v>
      </c>
      <c r="G61" s="5">
        <f t="shared" si="2"/>
        <v>0.46459249168117434</v>
      </c>
      <c r="H61" s="5">
        <f t="shared" si="3"/>
        <v>0.39846931108652167</v>
      </c>
      <c r="I61" s="5">
        <f t="shared" si="4"/>
        <v>0.46459249168117439</v>
      </c>
      <c r="J61" s="5">
        <v>0.90774907749077405</v>
      </c>
    </row>
    <row r="62" spans="1:10" ht="14.4" x14ac:dyDescent="0.25">
      <c r="A62" s="8" t="s">
        <v>4</v>
      </c>
      <c r="B62" s="4" t="s">
        <v>70</v>
      </c>
      <c r="C62" s="4">
        <v>0.37466538972719199</v>
      </c>
      <c r="D62" s="5">
        <f t="shared" si="0"/>
        <v>0.63794221880462432</v>
      </c>
      <c r="E62" s="5">
        <v>0.22846441947565499</v>
      </c>
      <c r="F62" s="5">
        <f t="shared" si="1"/>
        <v>0.36805473074090772</v>
      </c>
      <c r="G62" s="5">
        <f t="shared" si="2"/>
        <v>0.63194526925909233</v>
      </c>
      <c r="H62" s="5">
        <f t="shared" si="3"/>
        <v>0.43020484436737366</v>
      </c>
      <c r="I62" s="5">
        <f t="shared" si="4"/>
        <v>0.63194526925909245</v>
      </c>
      <c r="J62" s="5">
        <v>0.66666666666666596</v>
      </c>
    </row>
    <row r="63" spans="1:10" ht="14.4" x14ac:dyDescent="0.25">
      <c r="A63" s="8" t="s">
        <v>153</v>
      </c>
      <c r="B63" s="4" t="s">
        <v>71</v>
      </c>
      <c r="C63" s="4">
        <v>0.31803952172744299</v>
      </c>
      <c r="D63" s="5">
        <f t="shared" si="0"/>
        <v>0.51082380768481361</v>
      </c>
      <c r="E63" s="5">
        <v>0.343216531895777</v>
      </c>
      <c r="F63" s="5">
        <f t="shared" si="1"/>
        <v>0.5529196560350581</v>
      </c>
      <c r="G63" s="5">
        <f t="shared" si="2"/>
        <v>0.4470803439649419</v>
      </c>
      <c r="H63" s="5">
        <f t="shared" si="3"/>
        <v>0.39514843793035948</v>
      </c>
      <c r="I63" s="5">
        <f t="shared" si="4"/>
        <v>0.44708034396494195</v>
      </c>
      <c r="J63" s="5">
        <v>0.9</v>
      </c>
    </row>
    <row r="64" spans="1:10" ht="14.4" x14ac:dyDescent="0.25">
      <c r="A64" s="8" t="s">
        <v>154</v>
      </c>
      <c r="B64" s="4" t="s">
        <v>72</v>
      </c>
      <c r="C64" s="4">
        <v>0.27074173271802499</v>
      </c>
      <c r="D64" s="5">
        <f t="shared" si="0"/>
        <v>0.40464583636640639</v>
      </c>
      <c r="E64" s="5">
        <v>0.42755537492379603</v>
      </c>
      <c r="F64" s="5">
        <f t="shared" si="1"/>
        <v>0.6887889972345308</v>
      </c>
      <c r="G64" s="5">
        <f t="shared" si="2"/>
        <v>0.3112110027654692</v>
      </c>
      <c r="H64" s="5">
        <f t="shared" si="3"/>
        <v>0.36938318884463262</v>
      </c>
      <c r="I64" s="5">
        <f t="shared" si="4"/>
        <v>0.31121100276546915</v>
      </c>
      <c r="J64" s="5">
        <v>0.66666666666666596</v>
      </c>
    </row>
    <row r="65" spans="1:10" ht="14.4" x14ac:dyDescent="0.25">
      <c r="A65" s="8" t="s">
        <v>184</v>
      </c>
      <c r="B65" s="4" t="s">
        <v>73</v>
      </c>
      <c r="C65" s="4">
        <v>0.26448762138042797</v>
      </c>
      <c r="D65" s="5">
        <f t="shared" si="0"/>
        <v>0.39060609226561399</v>
      </c>
      <c r="E65" s="5">
        <v>0.29946344735077102</v>
      </c>
      <c r="F65" s="5">
        <f t="shared" si="1"/>
        <v>0.4824337143367608</v>
      </c>
      <c r="G65" s="5">
        <f t="shared" si="2"/>
        <v>0.51756628566323926</v>
      </c>
      <c r="H65" s="5">
        <f t="shared" si="3"/>
        <v>0.40851486650700514</v>
      </c>
      <c r="I65" s="5">
        <f t="shared" si="4"/>
        <v>0.51756628566323937</v>
      </c>
      <c r="J65" s="5">
        <v>0.66666666666666596</v>
      </c>
    </row>
    <row r="66" spans="1:10" ht="14.4" x14ac:dyDescent="0.25">
      <c r="A66" s="8" t="s">
        <v>108</v>
      </c>
      <c r="B66" s="4" t="s">
        <v>74</v>
      </c>
      <c r="C66" s="4">
        <v>0.23526431147350799</v>
      </c>
      <c r="D66" s="5">
        <f t="shared" si="0"/>
        <v>0.3250031999082561</v>
      </c>
      <c r="E66" s="5">
        <v>0.48947951273532597</v>
      </c>
      <c r="F66" s="5">
        <f t="shared" si="1"/>
        <v>0.78854839049538883</v>
      </c>
      <c r="G66" s="5">
        <f t="shared" si="2"/>
        <v>0.21145160950461117</v>
      </c>
      <c r="H66" s="5">
        <f t="shared" si="3"/>
        <v>0.35046556111996857</v>
      </c>
      <c r="I66" s="5">
        <f t="shared" si="4"/>
        <v>0.21145160950461125</v>
      </c>
      <c r="J66" s="5">
        <v>0.66666666666666596</v>
      </c>
    </row>
    <row r="67" spans="1:10" ht="14.4" x14ac:dyDescent="0.25">
      <c r="A67" s="8" t="s">
        <v>155</v>
      </c>
      <c r="B67" s="4" t="s">
        <v>75</v>
      </c>
      <c r="C67" s="4">
        <v>0.39420095695806401</v>
      </c>
      <c r="D67" s="5">
        <f t="shared" ref="D67:D95" si="5">(C67-$C$99)/($C$101-$C$99)</f>
        <v>0.68179726870379231</v>
      </c>
      <c r="E67" s="5">
        <v>0.45687645687645601</v>
      </c>
      <c r="F67" s="5">
        <f t="shared" ref="F67:F95" si="6">(E67-$E$99)/($E$101-$E$99)</f>
        <v>0.7360250742914588</v>
      </c>
      <c r="G67" s="5">
        <f t="shared" ref="G67:G95" si="7">1-F67</f>
        <v>0.2639749257085412</v>
      </c>
      <c r="H67" s="5">
        <f t="shared" ref="H67:H95" si="8">(E67+G67)/2</f>
        <v>0.36042569129249857</v>
      </c>
      <c r="I67" s="5">
        <f t="shared" ref="I67:I95" si="9">(H67-$H$99)/($H$101-$H$99)</f>
        <v>0.26397492570854098</v>
      </c>
      <c r="J67" s="5">
        <v>0.66666666666666596</v>
      </c>
    </row>
    <row r="68" spans="1:10" ht="14.4" x14ac:dyDescent="0.25">
      <c r="A68" s="8" t="s">
        <v>185</v>
      </c>
      <c r="B68" s="4" t="s">
        <v>76</v>
      </c>
      <c r="C68" s="4">
        <v>9.0489151562522893E-2</v>
      </c>
      <c r="D68" s="5">
        <f t="shared" si="5"/>
        <v>0</v>
      </c>
      <c r="E68" s="5">
        <v>8.1081081081081002E-2</v>
      </c>
      <c r="F68" s="5">
        <f t="shared" si="6"/>
        <v>0.13062110736529348</v>
      </c>
      <c r="G68" s="5">
        <f t="shared" si="7"/>
        <v>0.86937889263470658</v>
      </c>
      <c r="H68" s="5">
        <f t="shared" si="8"/>
        <v>0.4752299868578938</v>
      </c>
      <c r="I68" s="5">
        <f t="shared" si="9"/>
        <v>0.8693788926347068</v>
      </c>
      <c r="J68" s="5">
        <v>7.1307383830169102E-2</v>
      </c>
    </row>
    <row r="69" spans="1:10" ht="14.4" x14ac:dyDescent="0.25">
      <c r="A69" s="8" t="s">
        <v>5</v>
      </c>
      <c r="B69" s="4" t="s">
        <v>77</v>
      </c>
      <c r="C69" s="4">
        <v>0.19939049065734499</v>
      </c>
      <c r="D69" s="5">
        <f t="shared" si="5"/>
        <v>0.24447069305171401</v>
      </c>
      <c r="E69" s="5">
        <v>0.129943502824858</v>
      </c>
      <c r="F69" s="5">
        <f t="shared" si="6"/>
        <v>0.2093381588848667</v>
      </c>
      <c r="G69" s="5">
        <f t="shared" si="7"/>
        <v>0.79066184111513327</v>
      </c>
      <c r="H69" s="5">
        <f t="shared" si="8"/>
        <v>0.46030267196999564</v>
      </c>
      <c r="I69" s="5">
        <f t="shared" si="9"/>
        <v>0.79066184111513316</v>
      </c>
      <c r="J69" s="5">
        <v>0.16691176470588201</v>
      </c>
    </row>
    <row r="70" spans="1:10" ht="14.4" x14ac:dyDescent="0.25">
      <c r="A70" s="8" t="s">
        <v>156</v>
      </c>
      <c r="B70" s="4" t="s">
        <v>78</v>
      </c>
      <c r="C70" s="4">
        <v>0.34083912671577299</v>
      </c>
      <c r="D70" s="5">
        <f t="shared" si="5"/>
        <v>0.56200623830625096</v>
      </c>
      <c r="E70" s="5">
        <v>0.360450101457295</v>
      </c>
      <c r="F70" s="5">
        <f t="shared" si="6"/>
        <v>0.58068282729483978</v>
      </c>
      <c r="G70" s="5">
        <f t="shared" si="7"/>
        <v>0.41931717270516022</v>
      </c>
      <c r="H70" s="5">
        <f t="shared" si="8"/>
        <v>0.38988363708122764</v>
      </c>
      <c r="I70" s="5">
        <f t="shared" si="9"/>
        <v>0.41931717270516033</v>
      </c>
      <c r="J70" s="5">
        <v>0.66666666666666596</v>
      </c>
    </row>
    <row r="71" spans="1:10" ht="14.4" x14ac:dyDescent="0.25">
      <c r="A71" s="8" t="s">
        <v>157</v>
      </c>
      <c r="B71" s="4" t="s">
        <v>79</v>
      </c>
      <c r="C71" s="4">
        <v>9.0489151562522893E-2</v>
      </c>
      <c r="D71" s="5">
        <f t="shared" si="5"/>
        <v>0</v>
      </c>
      <c r="E71" s="5">
        <v>0.32450331125827803</v>
      </c>
      <c r="F71" s="5">
        <f t="shared" si="6"/>
        <v>0.52277277627655017</v>
      </c>
      <c r="G71" s="5">
        <f t="shared" si="7"/>
        <v>0.47722722372344983</v>
      </c>
      <c r="H71" s="5">
        <f t="shared" si="8"/>
        <v>0.40086526749086393</v>
      </c>
      <c r="I71" s="5">
        <f t="shared" si="9"/>
        <v>0.47722722372344983</v>
      </c>
      <c r="J71" s="5">
        <v>0.91382084748793102</v>
      </c>
    </row>
    <row r="72" spans="1:10" ht="14.4" x14ac:dyDescent="0.25">
      <c r="A72" s="8" t="s">
        <v>158</v>
      </c>
      <c r="B72" s="4" t="s">
        <v>80</v>
      </c>
      <c r="C72" s="4">
        <v>0.33065716700647502</v>
      </c>
      <c r="D72" s="5">
        <f t="shared" si="5"/>
        <v>0.53914893675746722</v>
      </c>
      <c r="E72" s="5">
        <v>0.32922535211267601</v>
      </c>
      <c r="F72" s="5">
        <f t="shared" si="6"/>
        <v>0.53037995414346617</v>
      </c>
      <c r="G72" s="5">
        <f t="shared" si="7"/>
        <v>0.46962004585653383</v>
      </c>
      <c r="H72" s="5">
        <f t="shared" si="8"/>
        <v>0.39942269898460492</v>
      </c>
      <c r="I72" s="5">
        <f t="shared" si="9"/>
        <v>0.46962004585653377</v>
      </c>
      <c r="J72" s="5">
        <v>0.8</v>
      </c>
    </row>
    <row r="73" spans="1:10" ht="14.4" x14ac:dyDescent="0.25">
      <c r="A73" s="8" t="s">
        <v>159</v>
      </c>
      <c r="B73" s="4" t="s">
        <v>81</v>
      </c>
      <c r="C73" s="4">
        <v>0.132110177530783</v>
      </c>
      <c r="D73" s="5">
        <f t="shared" si="5"/>
        <v>9.3434306212931847E-2</v>
      </c>
      <c r="E73" s="5">
        <v>4.7120418848167499E-2</v>
      </c>
      <c r="F73" s="5">
        <f t="shared" si="6"/>
        <v>7.591069590339046E-2</v>
      </c>
      <c r="G73" s="5">
        <f t="shared" si="7"/>
        <v>0.9240893040966095</v>
      </c>
      <c r="H73" s="5">
        <f t="shared" si="8"/>
        <v>0.48560486147238852</v>
      </c>
      <c r="I73" s="5">
        <f t="shared" si="9"/>
        <v>0.9240893040966095</v>
      </c>
      <c r="J73" s="5">
        <v>3.6697247706422E-2</v>
      </c>
    </row>
    <row r="74" spans="1:10" ht="14.4" x14ac:dyDescent="0.25">
      <c r="A74" s="8" t="s">
        <v>160</v>
      </c>
      <c r="B74" s="4" t="s">
        <v>82</v>
      </c>
      <c r="C74" s="4">
        <v>0.37091805960728003</v>
      </c>
      <c r="D74" s="5">
        <f t="shared" si="5"/>
        <v>0.62952990359231309</v>
      </c>
      <c r="E74" s="5">
        <v>0.372180451127819</v>
      </c>
      <c r="F74" s="5">
        <f t="shared" si="6"/>
        <v>0.59958034621437317</v>
      </c>
      <c r="G74" s="5">
        <f t="shared" si="7"/>
        <v>0.40041965378562683</v>
      </c>
      <c r="H74" s="5">
        <f t="shared" si="8"/>
        <v>0.38630005245672294</v>
      </c>
      <c r="I74" s="5">
        <f t="shared" si="9"/>
        <v>0.40041965378562694</v>
      </c>
      <c r="J74" s="5">
        <v>0.8</v>
      </c>
    </row>
    <row r="75" spans="1:10" ht="14.4" x14ac:dyDescent="0.25">
      <c r="A75" s="8" t="s">
        <v>186</v>
      </c>
      <c r="B75" s="4" t="s">
        <v>83</v>
      </c>
      <c r="C75" s="4">
        <v>0.31464332232061998</v>
      </c>
      <c r="D75" s="5">
        <f t="shared" si="5"/>
        <v>0.50319973960971942</v>
      </c>
      <c r="E75" s="5">
        <v>0.32150930272995998</v>
      </c>
      <c r="F75" s="5">
        <f t="shared" si="6"/>
        <v>0.51794944752691308</v>
      </c>
      <c r="G75" s="5">
        <f t="shared" si="7"/>
        <v>0.48205055247308692</v>
      </c>
      <c r="H75" s="5">
        <f t="shared" si="8"/>
        <v>0.40177992760152348</v>
      </c>
      <c r="I75" s="5">
        <f t="shared" si="9"/>
        <v>0.48205055247308698</v>
      </c>
      <c r="J75" s="5">
        <v>0.8</v>
      </c>
    </row>
    <row r="76" spans="1:10" ht="14.4" x14ac:dyDescent="0.25">
      <c r="A76" s="8" t="s">
        <v>161</v>
      </c>
      <c r="B76" s="4" t="s">
        <v>84</v>
      </c>
      <c r="C76" s="4">
        <v>0.35496572657811898</v>
      </c>
      <c r="D76" s="5">
        <f t="shared" si="5"/>
        <v>0.59371879287644702</v>
      </c>
      <c r="E76" s="5">
        <v>0.32344007636900102</v>
      </c>
      <c r="F76" s="5">
        <f t="shared" si="6"/>
        <v>0.52105991161348653</v>
      </c>
      <c r="G76" s="5">
        <f t="shared" si="7"/>
        <v>0.47894008838651347</v>
      </c>
      <c r="H76" s="5">
        <f t="shared" si="8"/>
        <v>0.40119008237775722</v>
      </c>
      <c r="I76" s="5">
        <f t="shared" si="9"/>
        <v>0.47894008838651336</v>
      </c>
      <c r="J76" s="5">
        <v>0.8</v>
      </c>
    </row>
    <row r="77" spans="1:10" ht="14.4" x14ac:dyDescent="0.25">
      <c r="A77" s="8" t="s">
        <v>162</v>
      </c>
      <c r="B77" s="4" t="s">
        <v>85</v>
      </c>
      <c r="C77" s="4">
        <v>0.38116476840003</v>
      </c>
      <c r="D77" s="5">
        <f t="shared" si="5"/>
        <v>0.65253255921513809</v>
      </c>
      <c r="E77" s="5">
        <v>0.38253241800152499</v>
      </c>
      <c r="F77" s="5">
        <f t="shared" si="6"/>
        <v>0.61625729919061834</v>
      </c>
      <c r="G77" s="5">
        <f t="shared" si="7"/>
        <v>0.38374270080938166</v>
      </c>
      <c r="H77" s="5">
        <f t="shared" si="8"/>
        <v>0.38313755940545335</v>
      </c>
      <c r="I77" s="5">
        <f t="shared" si="9"/>
        <v>0.38374270080938183</v>
      </c>
      <c r="J77" s="5">
        <v>0.61</v>
      </c>
    </row>
    <row r="78" spans="1:10" ht="14.4" x14ac:dyDescent="0.25">
      <c r="A78" s="8" t="s">
        <v>187</v>
      </c>
      <c r="B78" s="4" t="s">
        <v>86</v>
      </c>
      <c r="C78" s="4">
        <v>0.42677650855400001</v>
      </c>
      <c r="D78" s="5">
        <f t="shared" si="5"/>
        <v>0.75492554923178623</v>
      </c>
      <c r="E78" s="5">
        <v>0.29685408299866101</v>
      </c>
      <c r="F78" s="5">
        <f t="shared" si="6"/>
        <v>0.47823004491539117</v>
      </c>
      <c r="G78" s="5">
        <f t="shared" si="7"/>
        <v>0.52176995508460888</v>
      </c>
      <c r="H78" s="5">
        <f t="shared" si="8"/>
        <v>0.40931201904163494</v>
      </c>
      <c r="I78" s="5">
        <f t="shared" si="9"/>
        <v>0.52176995508460899</v>
      </c>
      <c r="J78" s="5">
        <v>0.88888888888888795</v>
      </c>
    </row>
    <row r="79" spans="1:10" ht="14.4" x14ac:dyDescent="0.25">
      <c r="A79" s="8" t="s">
        <v>163</v>
      </c>
      <c r="B79" s="4" t="s">
        <v>87</v>
      </c>
      <c r="C79" s="4">
        <v>0.31874796306151698</v>
      </c>
      <c r="D79" s="5">
        <f t="shared" si="5"/>
        <v>0.51241417512535303</v>
      </c>
      <c r="E79" s="5">
        <v>0.23074599818785799</v>
      </c>
      <c r="F79" s="5">
        <f t="shared" si="6"/>
        <v>0.37173033957536583</v>
      </c>
      <c r="G79" s="5">
        <f t="shared" si="7"/>
        <v>0.62826966042463417</v>
      </c>
      <c r="H79" s="5">
        <f t="shared" si="8"/>
        <v>0.42950782930624609</v>
      </c>
      <c r="I79" s="5">
        <f t="shared" si="9"/>
        <v>0.62826966042463428</v>
      </c>
      <c r="J79" s="5">
        <v>0.66666666666666596</v>
      </c>
    </row>
    <row r="80" spans="1:10" ht="14.4" x14ac:dyDescent="0.25">
      <c r="A80" s="8" t="s">
        <v>164</v>
      </c>
      <c r="B80" s="4" t="s">
        <v>88</v>
      </c>
      <c r="C80" s="4">
        <v>0.33848756900813798</v>
      </c>
      <c r="D80" s="5">
        <f t="shared" si="5"/>
        <v>0.55672726793439842</v>
      </c>
      <c r="E80" s="5">
        <v>0.325957147874956</v>
      </c>
      <c r="F80" s="5">
        <f t="shared" si="6"/>
        <v>0.52511489784506726</v>
      </c>
      <c r="G80" s="5">
        <f t="shared" si="7"/>
        <v>0.47488510215493274</v>
      </c>
      <c r="H80" s="5">
        <f t="shared" si="8"/>
        <v>0.40042112501494437</v>
      </c>
      <c r="I80" s="5">
        <f t="shared" si="9"/>
        <v>0.47488510215493279</v>
      </c>
      <c r="J80" s="5">
        <v>0.95652173913043403</v>
      </c>
    </row>
    <row r="81" spans="1:10" ht="14.4" x14ac:dyDescent="0.25">
      <c r="A81" s="8" t="s">
        <v>165</v>
      </c>
      <c r="B81" s="4" t="s">
        <v>89</v>
      </c>
      <c r="C81" s="4">
        <v>0.33094452800590302</v>
      </c>
      <c r="D81" s="5">
        <f t="shared" si="5"/>
        <v>0.53979402839059232</v>
      </c>
      <c r="E81" s="5">
        <v>0.35024549918166897</v>
      </c>
      <c r="F81" s="5">
        <f t="shared" si="6"/>
        <v>0.56424327775144223</v>
      </c>
      <c r="G81" s="5">
        <f t="shared" si="7"/>
        <v>0.43575672224855777</v>
      </c>
      <c r="H81" s="5">
        <f t="shared" si="8"/>
        <v>0.39300111071511334</v>
      </c>
      <c r="I81" s="5">
        <f t="shared" si="9"/>
        <v>0.43575672224855755</v>
      </c>
      <c r="J81" s="5">
        <v>0.66666666666666596</v>
      </c>
    </row>
    <row r="82" spans="1:10" ht="14.4" x14ac:dyDescent="0.25">
      <c r="A82" s="8" t="s">
        <v>6</v>
      </c>
      <c r="B82" s="4" t="s">
        <v>90</v>
      </c>
      <c r="C82" s="4">
        <v>0.37503713039694098</v>
      </c>
      <c r="D82" s="5">
        <f t="shared" si="5"/>
        <v>0.63877673286959757</v>
      </c>
      <c r="E82" s="5">
        <v>0.238390092879256</v>
      </c>
      <c r="F82" s="5">
        <f t="shared" si="6"/>
        <v>0.3840449276405779</v>
      </c>
      <c r="G82" s="5">
        <f t="shared" si="7"/>
        <v>0.61595507235942204</v>
      </c>
      <c r="H82" s="5">
        <f t="shared" si="8"/>
        <v>0.42717258261933899</v>
      </c>
      <c r="I82" s="5">
        <f t="shared" si="9"/>
        <v>0.61595507235942182</v>
      </c>
      <c r="J82" s="5">
        <v>0.9</v>
      </c>
    </row>
    <row r="83" spans="1:10" ht="14.4" x14ac:dyDescent="0.25">
      <c r="A83" s="8" t="s">
        <v>166</v>
      </c>
      <c r="B83" s="4" t="s">
        <v>91</v>
      </c>
      <c r="C83" s="4">
        <v>0.37504797234397902</v>
      </c>
      <c r="D83" s="5">
        <f t="shared" si="5"/>
        <v>0.63880107176504597</v>
      </c>
      <c r="E83" s="5">
        <v>0.27720154565792099</v>
      </c>
      <c r="F83" s="5">
        <f t="shared" si="6"/>
        <v>0.44656993190557315</v>
      </c>
      <c r="G83" s="5">
        <f t="shared" si="7"/>
        <v>0.55343006809442685</v>
      </c>
      <c r="H83" s="5">
        <f t="shared" si="8"/>
        <v>0.41531580687617392</v>
      </c>
      <c r="I83" s="5">
        <f t="shared" si="9"/>
        <v>0.55343006809442685</v>
      </c>
      <c r="J83" s="5">
        <v>0.75</v>
      </c>
    </row>
    <row r="84" spans="1:10" ht="14.4" x14ac:dyDescent="0.25">
      <c r="A84" s="8" t="s">
        <v>167</v>
      </c>
      <c r="B84" s="4" t="s">
        <v>92</v>
      </c>
      <c r="C84" s="4">
        <v>0.28272840749293099</v>
      </c>
      <c r="D84" s="5">
        <f t="shared" si="5"/>
        <v>0.43155451089661795</v>
      </c>
      <c r="E84" s="5">
        <v>0.26915708812260503</v>
      </c>
      <c r="F84" s="5">
        <f t="shared" si="6"/>
        <v>0.43361036183810853</v>
      </c>
      <c r="G84" s="5">
        <f t="shared" si="7"/>
        <v>0.56638963816189147</v>
      </c>
      <c r="H84" s="5">
        <f t="shared" si="8"/>
        <v>0.41777336314224822</v>
      </c>
      <c r="I84" s="5">
        <f t="shared" si="9"/>
        <v>0.56638963816189136</v>
      </c>
      <c r="J84" s="5">
        <v>0.75</v>
      </c>
    </row>
    <row r="85" spans="1:10" ht="14.4" x14ac:dyDescent="0.25">
      <c r="A85" s="8" t="s">
        <v>168</v>
      </c>
      <c r="B85" s="4" t="s">
        <v>93</v>
      </c>
      <c r="C85" s="4">
        <v>0.31428433315170601</v>
      </c>
      <c r="D85" s="5">
        <f t="shared" si="5"/>
        <v>0.50239385116379276</v>
      </c>
      <c r="E85" s="5">
        <v>0.23218077039733001</v>
      </c>
      <c r="F85" s="5">
        <f t="shared" si="6"/>
        <v>0.37404174850479011</v>
      </c>
      <c r="G85" s="5">
        <f t="shared" si="7"/>
        <v>0.62595825149520989</v>
      </c>
      <c r="H85" s="5">
        <f t="shared" si="8"/>
        <v>0.42906951094626994</v>
      </c>
      <c r="I85" s="5">
        <f t="shared" si="9"/>
        <v>0.62595825149520989</v>
      </c>
      <c r="J85" s="5">
        <v>0.66666666666666596</v>
      </c>
    </row>
    <row r="86" spans="1:10" ht="14.4" x14ac:dyDescent="0.25">
      <c r="A86" s="8" t="s">
        <v>169</v>
      </c>
      <c r="B86" s="4" t="s">
        <v>94</v>
      </c>
      <c r="C86" s="4">
        <v>0.35645300858754703</v>
      </c>
      <c r="D86" s="5">
        <f t="shared" si="5"/>
        <v>0.59705756599558779</v>
      </c>
      <c r="E86" s="5">
        <v>0.32659784757302801</v>
      </c>
      <c r="F86" s="5">
        <f t="shared" si="6"/>
        <v>0.52614706099502684</v>
      </c>
      <c r="G86" s="5">
        <f t="shared" si="7"/>
        <v>0.47385293900497316</v>
      </c>
      <c r="H86" s="5">
        <f t="shared" si="8"/>
        <v>0.40022539328900059</v>
      </c>
      <c r="I86" s="5">
        <f t="shared" si="9"/>
        <v>0.47385293900497322</v>
      </c>
      <c r="J86" s="5">
        <v>0.66666666666666596</v>
      </c>
    </row>
    <row r="87" spans="1:10" ht="14.4" x14ac:dyDescent="0.25">
      <c r="A87" s="8" t="s">
        <v>170</v>
      </c>
      <c r="B87" s="4" t="s">
        <v>95</v>
      </c>
      <c r="C87" s="4">
        <v>0.42855491387040601</v>
      </c>
      <c r="D87" s="5">
        <f t="shared" si="5"/>
        <v>0.75891785992183269</v>
      </c>
      <c r="E87" s="5">
        <v>0.41641641641641602</v>
      </c>
      <c r="F87" s="5">
        <f t="shared" si="6"/>
        <v>0.67084420572792702</v>
      </c>
      <c r="G87" s="5">
        <f t="shared" si="7"/>
        <v>0.32915579427207298</v>
      </c>
      <c r="H87" s="5">
        <f t="shared" si="8"/>
        <v>0.3727861053442445</v>
      </c>
      <c r="I87" s="5">
        <f t="shared" si="9"/>
        <v>0.32915579427207298</v>
      </c>
      <c r="J87" s="5">
        <v>0.9</v>
      </c>
    </row>
    <row r="88" spans="1:10" ht="14.4" x14ac:dyDescent="0.25">
      <c r="A88" s="8" t="s">
        <v>171</v>
      </c>
      <c r="B88" s="4" t="s">
        <v>96</v>
      </c>
      <c r="C88" s="4">
        <v>0.302681942408635</v>
      </c>
      <c r="D88" s="5">
        <f t="shared" si="5"/>
        <v>0.47634784907059885</v>
      </c>
      <c r="E88" s="5">
        <v>0.42814714821236599</v>
      </c>
      <c r="F88" s="5">
        <f t="shared" si="6"/>
        <v>0.68974234024909797</v>
      </c>
      <c r="G88" s="5">
        <f t="shared" si="7"/>
        <v>0.31025765975090203</v>
      </c>
      <c r="H88" s="5">
        <f t="shared" si="8"/>
        <v>0.36920240398163401</v>
      </c>
      <c r="I88" s="5">
        <f t="shared" si="9"/>
        <v>0.31025765975090214</v>
      </c>
      <c r="J88" s="5">
        <v>0.66666666666666596</v>
      </c>
    </row>
    <row r="89" spans="1:10" ht="14.4" x14ac:dyDescent="0.25">
      <c r="A89" s="8" t="s">
        <v>188</v>
      </c>
      <c r="B89" s="4" t="s">
        <v>97</v>
      </c>
      <c r="C89" s="4">
        <v>0.37574699419948598</v>
      </c>
      <c r="D89" s="5">
        <f t="shared" si="5"/>
        <v>0.64037029358448827</v>
      </c>
      <c r="E89" s="5">
        <v>0.28336966805149899</v>
      </c>
      <c r="F89" s="5">
        <f t="shared" si="6"/>
        <v>0.45650673796034363</v>
      </c>
      <c r="G89" s="5">
        <f t="shared" si="7"/>
        <v>0.54349326203965642</v>
      </c>
      <c r="H89" s="5">
        <f t="shared" si="8"/>
        <v>0.41343146504557771</v>
      </c>
      <c r="I89" s="5">
        <f t="shared" si="9"/>
        <v>0.54349326203965653</v>
      </c>
      <c r="J89" s="5">
        <v>0.94117647058823495</v>
      </c>
    </row>
    <row r="90" spans="1:10" ht="14.4" x14ac:dyDescent="0.25">
      <c r="A90" s="8" t="s">
        <v>172</v>
      </c>
      <c r="B90" s="4" t="s">
        <v>98</v>
      </c>
      <c r="C90" s="4">
        <v>0.30187016754316698</v>
      </c>
      <c r="D90" s="5">
        <f t="shared" si="5"/>
        <v>0.47452551001019361</v>
      </c>
      <c r="E90" s="5">
        <v>0.20433996383363401</v>
      </c>
      <c r="F90" s="5">
        <f t="shared" si="6"/>
        <v>0.3291903857108443</v>
      </c>
      <c r="G90" s="5">
        <f t="shared" si="7"/>
        <v>0.67080961428915575</v>
      </c>
      <c r="H90" s="5">
        <f t="shared" si="8"/>
        <v>0.43757478906139491</v>
      </c>
      <c r="I90" s="5">
        <f t="shared" si="9"/>
        <v>0.67080961428915598</v>
      </c>
      <c r="J90" s="5">
        <v>0.66666666666666596</v>
      </c>
    </row>
    <row r="91" spans="1:10" ht="14.4" x14ac:dyDescent="0.25">
      <c r="A91" s="8" t="s">
        <v>173</v>
      </c>
      <c r="B91" s="4" t="s">
        <v>99</v>
      </c>
      <c r="C91" s="4">
        <v>0.23304672838281301</v>
      </c>
      <c r="D91" s="5">
        <f t="shared" si="5"/>
        <v>0.32002498678812252</v>
      </c>
      <c r="E91" s="5">
        <v>0.36566332218506098</v>
      </c>
      <c r="F91" s="5">
        <f t="shared" si="6"/>
        <v>0.58908129282244581</v>
      </c>
      <c r="G91" s="5">
        <f t="shared" si="7"/>
        <v>0.41091870717755419</v>
      </c>
      <c r="H91" s="5">
        <f t="shared" si="8"/>
        <v>0.38829101468130756</v>
      </c>
      <c r="I91" s="5">
        <f t="shared" si="9"/>
        <v>0.41091870717755408</v>
      </c>
      <c r="J91" s="5">
        <v>0.66666666666666596</v>
      </c>
    </row>
    <row r="92" spans="1:10" ht="14.4" x14ac:dyDescent="0.25">
      <c r="A92" s="8" t="s">
        <v>174</v>
      </c>
      <c r="B92" s="4" t="s">
        <v>100</v>
      </c>
      <c r="C92" s="4">
        <v>0.34898952739727601</v>
      </c>
      <c r="D92" s="5">
        <f t="shared" si="5"/>
        <v>0.58030292886871759</v>
      </c>
      <c r="E92" s="5">
        <v>0.27551020408163202</v>
      </c>
      <c r="F92" s="5">
        <f t="shared" si="6"/>
        <v>0.44384519135349665</v>
      </c>
      <c r="G92" s="5">
        <f t="shared" si="7"/>
        <v>0.55615480864650335</v>
      </c>
      <c r="H92" s="5">
        <f t="shared" si="8"/>
        <v>0.41583250636406766</v>
      </c>
      <c r="I92" s="5">
        <f t="shared" si="9"/>
        <v>0.55615480864650313</v>
      </c>
      <c r="J92" s="5">
        <v>0.66666666666666596</v>
      </c>
    </row>
    <row r="93" spans="1:10" ht="14.4" x14ac:dyDescent="0.25">
      <c r="A93" s="8" t="s">
        <v>175</v>
      </c>
      <c r="B93" s="4" t="s">
        <v>101</v>
      </c>
      <c r="C93" s="4">
        <v>0.38080972250904599</v>
      </c>
      <c r="D93" s="5">
        <f t="shared" si="5"/>
        <v>0.65173552296420223</v>
      </c>
      <c r="E93" s="5">
        <v>0.33009279717189499</v>
      </c>
      <c r="F93" s="5">
        <f t="shared" si="6"/>
        <v>0.53177740263210227</v>
      </c>
      <c r="G93" s="5">
        <f t="shared" si="7"/>
        <v>0.46822259736789773</v>
      </c>
      <c r="H93" s="5">
        <f t="shared" si="8"/>
        <v>0.39915769726989636</v>
      </c>
      <c r="I93" s="5">
        <f t="shared" si="9"/>
        <v>0.46822259736789767</v>
      </c>
      <c r="J93" s="5">
        <v>0.66666666666666596</v>
      </c>
    </row>
    <row r="94" spans="1:10" ht="14.4" x14ac:dyDescent="0.25">
      <c r="A94" s="8" t="s">
        <v>189</v>
      </c>
      <c r="B94" s="4" t="s">
        <v>102</v>
      </c>
      <c r="C94" s="4">
        <v>0.42676301945127798</v>
      </c>
      <c r="D94" s="5">
        <f t="shared" si="5"/>
        <v>0.75489526778328886</v>
      </c>
      <c r="E94" s="5">
        <v>0.386091127098321</v>
      </c>
      <c r="F94" s="5">
        <f t="shared" si="6"/>
        <v>0.62199035697446303</v>
      </c>
      <c r="G94" s="5">
        <f t="shared" si="7"/>
        <v>0.37800964302553697</v>
      </c>
      <c r="H94" s="5">
        <f t="shared" si="8"/>
        <v>0.38205038506192901</v>
      </c>
      <c r="I94" s="5">
        <f t="shared" si="9"/>
        <v>0.37800964302553719</v>
      </c>
      <c r="J94" s="5">
        <v>0.967741935483871</v>
      </c>
    </row>
    <row r="95" spans="1:10" ht="14.4" x14ac:dyDescent="0.25">
      <c r="A95" s="8" t="s">
        <v>176</v>
      </c>
      <c r="B95" s="4" t="s">
        <v>103</v>
      </c>
      <c r="C95" s="4">
        <v>0.27300688151545</v>
      </c>
      <c r="D95" s="5">
        <f t="shared" si="5"/>
        <v>0.40973082890161827</v>
      </c>
      <c r="E95" s="5">
        <v>0.34616253331526398</v>
      </c>
      <c r="F95" s="5">
        <f t="shared" si="6"/>
        <v>0.55766564563685317</v>
      </c>
      <c r="G95" s="5">
        <f t="shared" si="7"/>
        <v>0.44233435436314683</v>
      </c>
      <c r="H95" s="5">
        <f t="shared" si="8"/>
        <v>0.39424844383920543</v>
      </c>
      <c r="I95" s="5">
        <f t="shared" si="9"/>
        <v>0.44233435436314694</v>
      </c>
      <c r="J95" s="5">
        <v>0.66666666666666596</v>
      </c>
    </row>
    <row r="96" spans="1:10" x14ac:dyDescent="0.25">
      <c r="C96" s="4"/>
      <c r="D96" s="4"/>
      <c r="E96" s="4"/>
      <c r="F96" s="4"/>
      <c r="G96" s="4"/>
      <c r="H96" s="4"/>
      <c r="I96" s="4"/>
      <c r="J96" s="4"/>
    </row>
    <row r="97" spans="3:10" x14ac:dyDescent="0.25">
      <c r="C97" s="4"/>
      <c r="D97" s="4"/>
      <c r="E97" s="4"/>
      <c r="F97" s="4"/>
      <c r="G97" s="4"/>
      <c r="H97" s="4"/>
      <c r="I97" s="4"/>
      <c r="J97" s="4"/>
    </row>
    <row r="98" spans="3:10" x14ac:dyDescent="0.25">
      <c r="C98" s="4" t="s">
        <v>8</v>
      </c>
      <c r="D98" s="4"/>
      <c r="E98" s="4" t="s">
        <v>8</v>
      </c>
      <c r="F98" s="4"/>
      <c r="G98" s="4"/>
      <c r="H98" s="4" t="s">
        <v>8</v>
      </c>
      <c r="I98" s="4"/>
      <c r="J98" s="4"/>
    </row>
    <row r="99" spans="3:10" x14ac:dyDescent="0.25">
      <c r="C99" s="3">
        <f>MIN(C2:C95)</f>
        <v>9.0489151562522893E-2</v>
      </c>
      <c r="D99" s="3"/>
      <c r="E99" s="3">
        <f>MIN(E2:E95)</f>
        <v>0</v>
      </c>
      <c r="F99" s="4"/>
      <c r="G99" s="4"/>
      <c r="H99" s="3">
        <f>MIN(H2:H95)</f>
        <v>0.31036745406824101</v>
      </c>
      <c r="I99" s="4"/>
      <c r="J99" s="4"/>
    </row>
    <row r="100" spans="3:10" x14ac:dyDescent="0.25">
      <c r="C100" s="4" t="s">
        <v>9</v>
      </c>
      <c r="D100" s="4"/>
      <c r="E100" s="4" t="s">
        <v>9</v>
      </c>
      <c r="F100" s="4"/>
      <c r="G100" s="4"/>
      <c r="H100" s="4" t="s">
        <v>9</v>
      </c>
      <c r="I100" s="4"/>
      <c r="J100" s="4"/>
    </row>
    <row r="101" spans="3:10" x14ac:dyDescent="0.25">
      <c r="C101" s="3">
        <f>MAX(C2:C95)</f>
        <v>0.53594679613910901</v>
      </c>
      <c r="D101" s="3"/>
      <c r="E101" s="3">
        <f>MAX(E2:E95)</f>
        <v>0.62073490813648202</v>
      </c>
      <c r="F101" s="3"/>
      <c r="G101" s="3"/>
      <c r="H101" s="3">
        <f>MAX(H2:H95)</f>
        <v>0.5</v>
      </c>
      <c r="I101" s="4"/>
      <c r="J101" s="4"/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20D3-AE55-43FD-BE12-7EFD0609D4A4}">
  <dimension ref="A1:J101"/>
  <sheetViews>
    <sheetView workbookViewId="0">
      <selection sqref="A1:XFD1"/>
    </sheetView>
  </sheetViews>
  <sheetFormatPr defaultRowHeight="13.8" x14ac:dyDescent="0.25"/>
  <cols>
    <col min="1" max="1" width="36.5546875" style="4" customWidth="1"/>
    <col min="2" max="16384" width="8.88671875" style="4"/>
  </cols>
  <sheetData>
    <row r="1" spans="1:10" x14ac:dyDescent="0.25">
      <c r="C1" s="10" t="s">
        <v>190</v>
      </c>
      <c r="D1" s="10" t="s">
        <v>191</v>
      </c>
      <c r="E1" s="10" t="s">
        <v>192</v>
      </c>
      <c r="F1" s="10" t="s">
        <v>193</v>
      </c>
      <c r="G1" s="10" t="s">
        <v>194</v>
      </c>
      <c r="H1" s="4" t="s">
        <v>195</v>
      </c>
      <c r="I1" s="4" t="s">
        <v>196</v>
      </c>
      <c r="J1" s="10" t="s">
        <v>197</v>
      </c>
    </row>
    <row r="2" spans="1:10" x14ac:dyDescent="0.25">
      <c r="A2" s="8" t="s">
        <v>0</v>
      </c>
      <c r="B2" s="4" t="s">
        <v>7</v>
      </c>
      <c r="C2" s="4">
        <v>0.49343096915359103</v>
      </c>
      <c r="D2" s="5">
        <f>(C2-$C$99)/($C$101-$C$99)</f>
        <v>0.9353344819635605</v>
      </c>
      <c r="E2" s="5">
        <v>0.29166666666666602</v>
      </c>
      <c r="F2" s="5">
        <f>(E2-$E$99)/($E$101-$E$99)</f>
        <v>0.53938356164383516</v>
      </c>
      <c r="G2" s="5">
        <f>1-F2</f>
        <v>0.46061643835616484</v>
      </c>
      <c r="H2" s="5">
        <f>(E2+G2)/2</f>
        <v>0.37614155251141546</v>
      </c>
      <c r="I2" s="5">
        <f>(H2-$H$99)/($H$101-$H$99)</f>
        <v>0.460616438356165</v>
      </c>
      <c r="J2" s="5">
        <v>0.952380952380952</v>
      </c>
    </row>
    <row r="3" spans="1:10" ht="14.4" x14ac:dyDescent="0.25">
      <c r="A3" s="8" t="s">
        <v>177</v>
      </c>
      <c r="B3" s="4" t="s">
        <v>11</v>
      </c>
      <c r="C3" s="4">
        <v>0.36633019742041301</v>
      </c>
      <c r="D3" s="5">
        <f t="shared" ref="D3:D66" si="0">(C3-$C$99)/($C$101-$C$99)</f>
        <v>0.64310165221728866</v>
      </c>
      <c r="E3" s="5">
        <v>0.32543339916611802</v>
      </c>
      <c r="F3" s="5">
        <f t="shared" ref="F3:F66" si="1">(E3-$E$99)/($E$101-$E$99)</f>
        <v>0.60182888886884922</v>
      </c>
      <c r="G3" s="5">
        <f t="shared" ref="G3:G66" si="2">1-F3</f>
        <v>0.39817111113115078</v>
      </c>
      <c r="H3" s="5">
        <f t="shared" ref="H3:H66" si="3">(E3+G3)/2</f>
        <v>0.3618022551486344</v>
      </c>
      <c r="I3" s="5">
        <f t="shared" ref="I3:I66" si="4">(H3-$H$99)/($H$101-$H$99)</f>
        <v>0.39817111113115083</v>
      </c>
      <c r="J3" s="5">
        <v>0.90909090909090895</v>
      </c>
    </row>
    <row r="4" spans="1:10" ht="14.4" x14ac:dyDescent="0.25">
      <c r="A4" s="8" t="s">
        <v>104</v>
      </c>
      <c r="B4" s="4" t="s">
        <v>12</v>
      </c>
      <c r="C4" s="4">
        <v>0.36597885239286598</v>
      </c>
      <c r="D4" s="5">
        <f t="shared" si="0"/>
        <v>0.64229383216854108</v>
      </c>
      <c r="E4" s="5">
        <v>0.38040860981445601</v>
      </c>
      <c r="F4" s="5">
        <f>(E4-$E$99)/($E$101-$E$99)</f>
        <v>0.70349537431440601</v>
      </c>
      <c r="G4" s="5">
        <f t="shared" si="2"/>
        <v>0.29650462568559399</v>
      </c>
      <c r="H4" s="5">
        <f t="shared" si="3"/>
        <v>0.338456617750025</v>
      </c>
      <c r="I4" s="5">
        <f t="shared" si="4"/>
        <v>0.29650462568559394</v>
      </c>
      <c r="J4" s="5">
        <v>0.95</v>
      </c>
    </row>
    <row r="5" spans="1:10" ht="14.4" x14ac:dyDescent="0.25">
      <c r="A5" s="8" t="s">
        <v>105</v>
      </c>
      <c r="B5" s="4" t="s">
        <v>13</v>
      </c>
      <c r="C5" s="4">
        <v>0.34389892274662598</v>
      </c>
      <c r="D5" s="5">
        <f t="shared" si="0"/>
        <v>0.5915271827365064</v>
      </c>
      <c r="E5" s="5">
        <v>0.32337526205450701</v>
      </c>
      <c r="F5" s="5">
        <f t="shared" si="1"/>
        <v>0.59802274489532203</v>
      </c>
      <c r="G5" s="5">
        <f t="shared" si="2"/>
        <v>0.40197725510467797</v>
      </c>
      <c r="H5" s="5">
        <f t="shared" si="3"/>
        <v>0.36267625857959251</v>
      </c>
      <c r="I5" s="5">
        <f t="shared" si="4"/>
        <v>0.40197725510467808</v>
      </c>
      <c r="J5" s="5">
        <v>0.83333333333333304</v>
      </c>
    </row>
    <row r="6" spans="1:10" ht="14.4" x14ac:dyDescent="0.25">
      <c r="A6" s="8" t="s">
        <v>106</v>
      </c>
      <c r="B6" s="4" t="s">
        <v>14</v>
      </c>
      <c r="C6" s="4">
        <v>0.36110437426305397</v>
      </c>
      <c r="D6" s="5">
        <f t="shared" si="0"/>
        <v>0.63108632714723656</v>
      </c>
      <c r="E6" s="5">
        <v>0.29842843936465202</v>
      </c>
      <c r="F6" s="5">
        <f t="shared" si="1"/>
        <v>0.55188820978394626</v>
      </c>
      <c r="G6" s="5">
        <f t="shared" si="2"/>
        <v>0.44811179021605374</v>
      </c>
      <c r="H6" s="5">
        <f t="shared" si="3"/>
        <v>0.37327011479035288</v>
      </c>
      <c r="I6" s="5">
        <f t="shared" si="4"/>
        <v>0.4481117902160538</v>
      </c>
      <c r="J6" s="5">
        <v>0.66666666666666596</v>
      </c>
    </row>
    <row r="7" spans="1:10" ht="14.4" x14ac:dyDescent="0.25">
      <c r="A7" s="8" t="s">
        <v>107</v>
      </c>
      <c r="B7" s="4" t="s">
        <v>15</v>
      </c>
      <c r="C7" s="4">
        <v>0.40905052930945901</v>
      </c>
      <c r="D7" s="5">
        <f t="shared" si="0"/>
        <v>0.74132515869484183</v>
      </c>
      <c r="E7" s="5">
        <v>0.28395061728394999</v>
      </c>
      <c r="F7" s="5">
        <f t="shared" si="1"/>
        <v>0.52511415525114113</v>
      </c>
      <c r="G7" s="5">
        <f t="shared" si="2"/>
        <v>0.47488584474885887</v>
      </c>
      <c r="H7" s="5">
        <f t="shared" si="3"/>
        <v>0.37941823101640443</v>
      </c>
      <c r="I7" s="5">
        <f t="shared" si="4"/>
        <v>0.47488584474885887</v>
      </c>
      <c r="J7" s="5">
        <v>0.79411764705882304</v>
      </c>
    </row>
    <row r="8" spans="1:10" ht="14.4" x14ac:dyDescent="0.25">
      <c r="A8" s="8" t="s">
        <v>108</v>
      </c>
      <c r="B8" s="4" t="s">
        <v>16</v>
      </c>
      <c r="C8" s="4">
        <v>0.39169203822686899</v>
      </c>
      <c r="D8" s="5">
        <f t="shared" si="0"/>
        <v>0.70141414241997724</v>
      </c>
      <c r="E8" s="5">
        <v>0.29523831864945199</v>
      </c>
      <c r="F8" s="5">
        <f t="shared" si="1"/>
        <v>0.54598867147501473</v>
      </c>
      <c r="G8" s="5">
        <f t="shared" si="2"/>
        <v>0.45401132852498527</v>
      </c>
      <c r="H8" s="5">
        <f t="shared" si="3"/>
        <v>0.3746248235872186</v>
      </c>
      <c r="I8" s="5">
        <f t="shared" si="4"/>
        <v>0.45401132852498516</v>
      </c>
      <c r="J8" s="5">
        <v>0.77777777777777701</v>
      </c>
    </row>
    <row r="9" spans="1:10" ht="14.4" x14ac:dyDescent="0.25">
      <c r="A9" s="8" t="s">
        <v>109</v>
      </c>
      <c r="B9" s="4" t="s">
        <v>17</v>
      </c>
      <c r="C9" s="4">
        <v>0.33079729407152902</v>
      </c>
      <c r="D9" s="5">
        <f t="shared" si="0"/>
        <v>0.56140363612228039</v>
      </c>
      <c r="E9" s="5">
        <v>0.25865822283791801</v>
      </c>
      <c r="F9" s="5">
        <f t="shared" si="1"/>
        <v>0.47834054908382168</v>
      </c>
      <c r="G9" s="5">
        <f t="shared" si="2"/>
        <v>0.52165945091617827</v>
      </c>
      <c r="H9" s="5">
        <f t="shared" si="3"/>
        <v>0.39015883687704811</v>
      </c>
      <c r="I9" s="5">
        <f t="shared" si="4"/>
        <v>0.52165945091617805</v>
      </c>
      <c r="J9" s="5">
        <v>0.9</v>
      </c>
    </row>
    <row r="10" spans="1:10" ht="14.4" x14ac:dyDescent="0.25">
      <c r="A10" s="8" t="s">
        <v>110</v>
      </c>
      <c r="B10" s="4" t="s">
        <v>18</v>
      </c>
      <c r="C10" s="4">
        <v>0.237250503312949</v>
      </c>
      <c r="D10" s="5">
        <f t="shared" si="0"/>
        <v>0.34631884155902176</v>
      </c>
      <c r="E10" s="5">
        <v>0.54074074074073997</v>
      </c>
      <c r="F10" s="5">
        <f t="shared" si="1"/>
        <v>1</v>
      </c>
      <c r="G10" s="5">
        <f t="shared" si="2"/>
        <v>0</v>
      </c>
      <c r="H10" s="5">
        <f t="shared" si="3"/>
        <v>0.27037037037036998</v>
      </c>
      <c r="I10" s="5">
        <f t="shared" si="4"/>
        <v>0</v>
      </c>
      <c r="J10" s="5">
        <v>0.66666666666666596</v>
      </c>
    </row>
    <row r="11" spans="1:10" ht="14.4" x14ac:dyDescent="0.25">
      <c r="A11" s="8" t="s">
        <v>178</v>
      </c>
      <c r="B11" s="4" t="s">
        <v>19</v>
      </c>
      <c r="C11" s="4">
        <v>0.454899781026328</v>
      </c>
      <c r="D11" s="5">
        <f t="shared" si="0"/>
        <v>0.84674274497903423</v>
      </c>
      <c r="E11" s="5">
        <v>0.33221209170576199</v>
      </c>
      <c r="F11" s="5">
        <f t="shared" si="1"/>
        <v>0.61436482712709495</v>
      </c>
      <c r="G11" s="5">
        <f t="shared" si="2"/>
        <v>0.38563517287290505</v>
      </c>
      <c r="H11" s="5">
        <f t="shared" si="3"/>
        <v>0.35892363228933355</v>
      </c>
      <c r="I11" s="5">
        <f t="shared" si="4"/>
        <v>0.38563517287290522</v>
      </c>
      <c r="J11" s="5">
        <v>0.90425531914893598</v>
      </c>
    </row>
    <row r="12" spans="1:10" ht="14.4" x14ac:dyDescent="0.25">
      <c r="A12" s="8" t="s">
        <v>179</v>
      </c>
      <c r="B12" s="4" t="s">
        <v>20</v>
      </c>
      <c r="C12" s="4">
        <v>0.40853878529732501</v>
      </c>
      <c r="D12" s="5">
        <f t="shared" si="0"/>
        <v>0.7401485458487328</v>
      </c>
      <c r="E12" s="5">
        <v>0.32659784757302801</v>
      </c>
      <c r="F12" s="5">
        <f t="shared" si="1"/>
        <v>0.60398232085423076</v>
      </c>
      <c r="G12" s="5">
        <f t="shared" si="2"/>
        <v>0.39601767914576924</v>
      </c>
      <c r="H12" s="5">
        <f t="shared" si="3"/>
        <v>0.36130776335939863</v>
      </c>
      <c r="I12" s="5">
        <f t="shared" si="4"/>
        <v>0.39601767914576924</v>
      </c>
      <c r="J12" s="5">
        <v>0.89156626506024095</v>
      </c>
    </row>
    <row r="13" spans="1:10" ht="14.4" x14ac:dyDescent="0.25">
      <c r="A13" s="8" t="s">
        <v>111</v>
      </c>
      <c r="B13" s="4" t="s">
        <v>21</v>
      </c>
      <c r="C13" s="4">
        <v>0.25274260041771501</v>
      </c>
      <c r="D13" s="5">
        <f t="shared" si="0"/>
        <v>0.38193860463279705</v>
      </c>
      <c r="E13" s="5">
        <v>0.43903445430162902</v>
      </c>
      <c r="F13" s="5">
        <f t="shared" si="1"/>
        <v>0.81191303192767128</v>
      </c>
      <c r="G13" s="5">
        <f t="shared" si="2"/>
        <v>0.18808696807232872</v>
      </c>
      <c r="H13" s="5">
        <f t="shared" si="3"/>
        <v>0.31356071118697887</v>
      </c>
      <c r="I13" s="5">
        <f t="shared" si="4"/>
        <v>0.18808696807232869</v>
      </c>
      <c r="J13" s="5">
        <v>0.8</v>
      </c>
    </row>
    <row r="14" spans="1:10" ht="14.4" x14ac:dyDescent="0.25">
      <c r="A14" s="8" t="s">
        <v>112</v>
      </c>
      <c r="B14" s="4" t="s">
        <v>22</v>
      </c>
      <c r="C14" s="4">
        <v>0.36437974176160498</v>
      </c>
      <c r="D14" s="5">
        <f t="shared" si="0"/>
        <v>0.63861712259016201</v>
      </c>
      <c r="E14" s="5">
        <v>0.34616253331526398</v>
      </c>
      <c r="F14" s="5">
        <f t="shared" si="1"/>
        <v>0.64016358900768089</v>
      </c>
      <c r="G14" s="5">
        <f t="shared" si="2"/>
        <v>0.35983641099231911</v>
      </c>
      <c r="H14" s="5">
        <f t="shared" si="3"/>
        <v>0.35299947215379157</v>
      </c>
      <c r="I14" s="5">
        <f t="shared" si="4"/>
        <v>0.35983641099231922</v>
      </c>
      <c r="J14" s="5">
        <v>0.66666666666666596</v>
      </c>
    </row>
    <row r="15" spans="1:10" ht="14.4" x14ac:dyDescent="0.25">
      <c r="A15" s="8" t="s">
        <v>113</v>
      </c>
      <c r="B15" s="4" t="s">
        <v>23</v>
      </c>
      <c r="C15" s="4">
        <v>0.38749472138079499</v>
      </c>
      <c r="D15" s="5">
        <f t="shared" si="0"/>
        <v>0.69176358119565295</v>
      </c>
      <c r="E15" s="5">
        <v>0.24183006535947699</v>
      </c>
      <c r="F15" s="5">
        <f t="shared" si="1"/>
        <v>0.44721998388396494</v>
      </c>
      <c r="G15" s="5">
        <f t="shared" si="2"/>
        <v>0.552780016116035</v>
      </c>
      <c r="H15" s="5">
        <f t="shared" si="3"/>
        <v>0.39730504073775597</v>
      </c>
      <c r="I15" s="5">
        <f t="shared" si="4"/>
        <v>0.55278001611603478</v>
      </c>
      <c r="J15" s="5">
        <v>0.85714285714285698</v>
      </c>
    </row>
    <row r="16" spans="1:10" ht="14.4" x14ac:dyDescent="0.25">
      <c r="A16" s="8" t="s">
        <v>114</v>
      </c>
      <c r="B16" s="4" t="s">
        <v>24</v>
      </c>
      <c r="C16" s="4">
        <v>0.34460679998237997</v>
      </c>
      <c r="D16" s="5">
        <f t="shared" si="0"/>
        <v>0.59315474931140988</v>
      </c>
      <c r="E16" s="5">
        <v>0.33955963140891399</v>
      </c>
      <c r="F16" s="5">
        <f t="shared" si="1"/>
        <v>0.62795274301648563</v>
      </c>
      <c r="G16" s="5">
        <f t="shared" si="2"/>
        <v>0.37204725698351437</v>
      </c>
      <c r="H16" s="5">
        <f t="shared" si="3"/>
        <v>0.35580344419621418</v>
      </c>
      <c r="I16" s="5">
        <f t="shared" si="4"/>
        <v>0.37204725698351443</v>
      </c>
      <c r="J16" s="5">
        <v>0.96195652173913004</v>
      </c>
    </row>
    <row r="17" spans="1:10" ht="14.4" x14ac:dyDescent="0.25">
      <c r="A17" s="8" t="s">
        <v>115</v>
      </c>
      <c r="B17" s="4" t="s">
        <v>25</v>
      </c>
      <c r="C17" s="4">
        <v>0.36008850041353802</v>
      </c>
      <c r="D17" s="5">
        <f t="shared" si="0"/>
        <v>0.62875060812947547</v>
      </c>
      <c r="E17" s="5">
        <v>0.31386232445937701</v>
      </c>
      <c r="F17" s="5">
        <f t="shared" si="1"/>
        <v>0.5804303260550131</v>
      </c>
      <c r="G17" s="5">
        <f t="shared" si="2"/>
        <v>0.4195696739449869</v>
      </c>
      <c r="H17" s="5">
        <f t="shared" si="3"/>
        <v>0.36671599920218195</v>
      </c>
      <c r="I17" s="5">
        <f t="shared" si="4"/>
        <v>0.4195696739449869</v>
      </c>
      <c r="J17" s="5">
        <v>0.875</v>
      </c>
    </row>
    <row r="18" spans="1:10" ht="14.4" x14ac:dyDescent="0.25">
      <c r="A18" s="8" t="s">
        <v>116</v>
      </c>
      <c r="B18" s="4" t="s">
        <v>26</v>
      </c>
      <c r="C18" s="4">
        <v>0.35876568071866599</v>
      </c>
      <c r="D18" s="5">
        <f t="shared" si="0"/>
        <v>0.62570915261818971</v>
      </c>
      <c r="E18" s="5">
        <v>0.34938664243525602</v>
      </c>
      <c r="F18" s="5">
        <f t="shared" si="1"/>
        <v>0.64612598258574838</v>
      </c>
      <c r="G18" s="5">
        <f t="shared" si="2"/>
        <v>0.35387401741425162</v>
      </c>
      <c r="H18" s="5">
        <f t="shared" si="3"/>
        <v>0.35163032992475385</v>
      </c>
      <c r="I18" s="5">
        <f t="shared" si="4"/>
        <v>0.35387401741425173</v>
      </c>
      <c r="J18" s="5">
        <v>0.91666666666666596</v>
      </c>
    </row>
    <row r="19" spans="1:10" ht="14.4" x14ac:dyDescent="0.25">
      <c r="A19" s="8" t="s">
        <v>117</v>
      </c>
      <c r="B19" s="4" t="s">
        <v>27</v>
      </c>
      <c r="C19" s="4">
        <v>0.43868963355135598</v>
      </c>
      <c r="D19" s="5">
        <f t="shared" si="0"/>
        <v>0.80947202504068394</v>
      </c>
      <c r="E19" s="5">
        <v>0.42742222801905999</v>
      </c>
      <c r="F19" s="5">
        <f t="shared" si="1"/>
        <v>0.79043836688456415</v>
      </c>
      <c r="G19" s="5">
        <f t="shared" si="2"/>
        <v>0.20956163311543585</v>
      </c>
      <c r="H19" s="5">
        <f t="shared" si="3"/>
        <v>0.31849193056724789</v>
      </c>
      <c r="I19" s="5">
        <f t="shared" si="4"/>
        <v>0.20956163311543571</v>
      </c>
      <c r="J19" s="5">
        <v>0.66666666666666596</v>
      </c>
    </row>
    <row r="20" spans="1:10" ht="14.4" x14ac:dyDescent="0.25">
      <c r="A20" s="8" t="s">
        <v>118</v>
      </c>
      <c r="B20" s="4" t="s">
        <v>28</v>
      </c>
      <c r="C20" s="4">
        <v>0.359909779139999</v>
      </c>
      <c r="D20" s="5">
        <f t="shared" si="0"/>
        <v>0.62833968833103548</v>
      </c>
      <c r="E20" s="5">
        <v>0.36363636363636298</v>
      </c>
      <c r="F20" s="5">
        <f t="shared" si="1"/>
        <v>0.67247820672478187</v>
      </c>
      <c r="G20" s="5">
        <f t="shared" si="2"/>
        <v>0.32752179327521813</v>
      </c>
      <c r="H20" s="5">
        <f t="shared" si="3"/>
        <v>0.34557907845579056</v>
      </c>
      <c r="I20" s="5">
        <f t="shared" si="4"/>
        <v>0.32752179327521808</v>
      </c>
      <c r="J20" s="5">
        <v>0.66666666666666596</v>
      </c>
    </row>
    <row r="21" spans="1:10" ht="14.4" x14ac:dyDescent="0.25">
      <c r="A21" s="8" t="s">
        <v>119</v>
      </c>
      <c r="B21" s="4" t="s">
        <v>29</v>
      </c>
      <c r="C21" s="4">
        <v>0.37733685569993303</v>
      </c>
      <c r="D21" s="5">
        <f t="shared" si="0"/>
        <v>0.66840839781145989</v>
      </c>
      <c r="E21" s="5">
        <v>0.41641641641641602</v>
      </c>
      <c r="F21" s="5">
        <f t="shared" si="1"/>
        <v>0.77008515364679786</v>
      </c>
      <c r="G21" s="5">
        <f t="shared" si="2"/>
        <v>0.22991484635320214</v>
      </c>
      <c r="H21" s="5">
        <f t="shared" si="3"/>
        <v>0.32316563138480908</v>
      </c>
      <c r="I21" s="5">
        <f t="shared" si="4"/>
        <v>0.22991484635320214</v>
      </c>
      <c r="J21" s="5">
        <v>0.90205761316872402</v>
      </c>
    </row>
    <row r="22" spans="1:10" ht="14.4" x14ac:dyDescent="0.25">
      <c r="A22" s="8" t="s">
        <v>120</v>
      </c>
      <c r="B22" s="4" t="s">
        <v>30</v>
      </c>
      <c r="C22" s="4">
        <v>0.36130456140768302</v>
      </c>
      <c r="D22" s="5">
        <f t="shared" si="0"/>
        <v>0.63154660173846078</v>
      </c>
      <c r="E22" s="5">
        <v>0.31666862985960298</v>
      </c>
      <c r="F22" s="5">
        <f t="shared" si="1"/>
        <v>0.58562006891844476</v>
      </c>
      <c r="G22" s="5">
        <f t="shared" si="2"/>
        <v>0.41437993108155524</v>
      </c>
      <c r="H22" s="5">
        <f t="shared" si="3"/>
        <v>0.36552428047057911</v>
      </c>
      <c r="I22" s="5">
        <f t="shared" si="4"/>
        <v>0.41437993108155519</v>
      </c>
      <c r="J22" s="5">
        <v>0.95209580838323304</v>
      </c>
    </row>
    <row r="23" spans="1:10" ht="14.4" x14ac:dyDescent="0.25">
      <c r="A23" s="8" t="s">
        <v>121</v>
      </c>
      <c r="B23" s="4" t="s">
        <v>31</v>
      </c>
      <c r="C23" s="4">
        <v>0.36028796193009499</v>
      </c>
      <c r="D23" s="5">
        <f t="shared" si="0"/>
        <v>0.62920921434101995</v>
      </c>
      <c r="E23" s="5">
        <v>0.34835527804171701</v>
      </c>
      <c r="F23" s="5">
        <f t="shared" si="1"/>
        <v>0.64421866487166934</v>
      </c>
      <c r="G23" s="5">
        <f t="shared" si="2"/>
        <v>0.35578133512833066</v>
      </c>
      <c r="H23" s="5">
        <f t="shared" si="3"/>
        <v>0.35206830658502386</v>
      </c>
      <c r="I23" s="5">
        <f t="shared" si="4"/>
        <v>0.35578133512833082</v>
      </c>
      <c r="J23" s="5">
        <v>0.93333333333333302</v>
      </c>
    </row>
    <row r="24" spans="1:10" ht="14.4" x14ac:dyDescent="0.25">
      <c r="A24" s="8" t="s">
        <v>122</v>
      </c>
      <c r="B24" s="4" t="s">
        <v>32</v>
      </c>
      <c r="C24" s="4">
        <v>0.29114459418097599</v>
      </c>
      <c r="D24" s="5">
        <f t="shared" si="0"/>
        <v>0.47023329515517565</v>
      </c>
      <c r="E24" s="5">
        <v>0.35356849876948299</v>
      </c>
      <c r="F24" s="5">
        <f t="shared" si="1"/>
        <v>0.65385955251890782</v>
      </c>
      <c r="G24" s="5">
        <f t="shared" si="2"/>
        <v>0.34614044748109218</v>
      </c>
      <c r="H24" s="5">
        <f t="shared" si="3"/>
        <v>0.34985447312528761</v>
      </c>
      <c r="I24" s="5">
        <f t="shared" si="4"/>
        <v>0.34614044748109229</v>
      </c>
      <c r="J24" s="5">
        <v>0.66666666666666596</v>
      </c>
    </row>
    <row r="25" spans="1:10" ht="14.4" x14ac:dyDescent="0.25">
      <c r="A25" s="8" t="s">
        <v>123</v>
      </c>
      <c r="B25" s="4" t="s">
        <v>33</v>
      </c>
      <c r="C25" s="4">
        <v>0.34751712518077699</v>
      </c>
      <c r="D25" s="5">
        <f t="shared" si="0"/>
        <v>0.59984623164162643</v>
      </c>
      <c r="E25" s="5">
        <v>0.32104692068507001</v>
      </c>
      <c r="F25" s="5">
        <f t="shared" si="1"/>
        <v>0.59371690811622624</v>
      </c>
      <c r="G25" s="5">
        <f t="shared" si="2"/>
        <v>0.40628309188377376</v>
      </c>
      <c r="H25" s="5">
        <f t="shared" si="3"/>
        <v>0.36366500628442189</v>
      </c>
      <c r="I25" s="5">
        <f t="shared" si="4"/>
        <v>0.40628309188377376</v>
      </c>
      <c r="J25" s="5">
        <v>0.91525423728813504</v>
      </c>
    </row>
    <row r="26" spans="1:10" ht="14.4" x14ac:dyDescent="0.25">
      <c r="A26" s="8" t="s">
        <v>124</v>
      </c>
      <c r="B26" s="4" t="s">
        <v>34</v>
      </c>
      <c r="C26" s="4">
        <v>0.35673107233109602</v>
      </c>
      <c r="D26" s="5">
        <f t="shared" si="0"/>
        <v>0.62103113722601522</v>
      </c>
      <c r="E26" s="5">
        <v>0.33624337445993402</v>
      </c>
      <c r="F26" s="5">
        <f t="shared" si="1"/>
        <v>0.62181993906974187</v>
      </c>
      <c r="G26" s="5">
        <f t="shared" si="2"/>
        <v>0.37818006093025813</v>
      </c>
      <c r="H26" s="5">
        <f t="shared" si="3"/>
        <v>0.35721171769509608</v>
      </c>
      <c r="I26" s="5">
        <f t="shared" si="4"/>
        <v>0.37818006093025813</v>
      </c>
      <c r="J26" s="5">
        <v>0.8</v>
      </c>
    </row>
    <row r="27" spans="1:10" ht="14.4" x14ac:dyDescent="0.25">
      <c r="A27" s="8" t="s">
        <v>1</v>
      </c>
      <c r="B27" s="4" t="s">
        <v>35</v>
      </c>
      <c r="C27" s="4">
        <v>0.16543426659418001</v>
      </c>
      <c r="D27" s="5">
        <f t="shared" si="0"/>
        <v>0.18119740451446939</v>
      </c>
      <c r="E27" s="5">
        <v>0.11111111111111099</v>
      </c>
      <c r="F27" s="5">
        <f t="shared" si="1"/>
        <v>0.20547945205479459</v>
      </c>
      <c r="G27" s="5">
        <f t="shared" si="2"/>
        <v>0.79452054794520544</v>
      </c>
      <c r="H27" s="5">
        <f t="shared" si="3"/>
        <v>0.45281582952815824</v>
      </c>
      <c r="I27" s="5">
        <f t="shared" si="4"/>
        <v>0.79452054794520555</v>
      </c>
      <c r="J27" s="5">
        <v>0.84920634920634896</v>
      </c>
    </row>
    <row r="28" spans="1:10" ht="14.4" x14ac:dyDescent="0.25">
      <c r="A28" s="8" t="s">
        <v>125</v>
      </c>
      <c r="B28" s="4" t="s">
        <v>36</v>
      </c>
      <c r="C28" s="4">
        <v>0.36694199058592603</v>
      </c>
      <c r="D28" s="5">
        <f t="shared" si="0"/>
        <v>0.64450830023003736</v>
      </c>
      <c r="E28" s="5">
        <v>0.26663459996793298</v>
      </c>
      <c r="F28" s="5">
        <f t="shared" si="1"/>
        <v>0.49309138350234255</v>
      </c>
      <c r="G28" s="5">
        <f t="shared" si="2"/>
        <v>0.5069086164976575</v>
      </c>
      <c r="H28" s="5">
        <f t="shared" si="3"/>
        <v>0.38677160823279522</v>
      </c>
      <c r="I28" s="5">
        <f t="shared" si="4"/>
        <v>0.50690861649765739</v>
      </c>
      <c r="J28" s="5">
        <v>0.75</v>
      </c>
    </row>
    <row r="29" spans="1:10" ht="14.4" x14ac:dyDescent="0.25">
      <c r="A29" s="8" t="s">
        <v>126</v>
      </c>
      <c r="B29" s="4" t="s">
        <v>37</v>
      </c>
      <c r="C29" s="4">
        <v>0.327964497224291</v>
      </c>
      <c r="D29" s="5">
        <f t="shared" si="0"/>
        <v>0.55489040864556172</v>
      </c>
      <c r="E29" s="5">
        <v>0.259106746911624</v>
      </c>
      <c r="F29" s="5">
        <f t="shared" si="1"/>
        <v>0.47917001141190807</v>
      </c>
      <c r="G29" s="5">
        <f t="shared" si="2"/>
        <v>0.52082998858809193</v>
      </c>
      <c r="H29" s="5">
        <f t="shared" si="3"/>
        <v>0.38996836774985799</v>
      </c>
      <c r="I29" s="5">
        <f t="shared" si="4"/>
        <v>0.52082998858809204</v>
      </c>
      <c r="J29" s="5">
        <v>0.8</v>
      </c>
    </row>
    <row r="30" spans="1:10" ht="14.4" x14ac:dyDescent="0.25">
      <c r="A30" s="8" t="s">
        <v>180</v>
      </c>
      <c r="B30" s="4" t="s">
        <v>38</v>
      </c>
      <c r="C30" s="4">
        <v>0.345736601981253</v>
      </c>
      <c r="D30" s="5">
        <f t="shared" si="0"/>
        <v>0.59575241438205773</v>
      </c>
      <c r="E30" s="5">
        <v>0.30405233200237802</v>
      </c>
      <c r="F30" s="5">
        <f t="shared" si="1"/>
        <v>0.56228855918248066</v>
      </c>
      <c r="G30" s="5">
        <f t="shared" si="2"/>
        <v>0.43771144081751934</v>
      </c>
      <c r="H30" s="5">
        <f t="shared" si="3"/>
        <v>0.37088188640994868</v>
      </c>
      <c r="I30" s="5">
        <f t="shared" si="4"/>
        <v>0.43771144081751939</v>
      </c>
      <c r="J30" s="5">
        <v>0.97619047619047605</v>
      </c>
    </row>
    <row r="31" spans="1:10" ht="14.4" x14ac:dyDescent="0.25">
      <c r="A31" s="8" t="s">
        <v>127</v>
      </c>
      <c r="B31" s="4" t="s">
        <v>39</v>
      </c>
      <c r="C31" s="4">
        <v>0.35137353558026302</v>
      </c>
      <c r="D31" s="5">
        <f t="shared" si="0"/>
        <v>0.60871297342719632</v>
      </c>
      <c r="E31" s="5">
        <v>0.35944700460829399</v>
      </c>
      <c r="F31" s="5">
        <f t="shared" si="1"/>
        <v>0.66473076194684599</v>
      </c>
      <c r="G31" s="5">
        <f t="shared" si="2"/>
        <v>0.33526923805315401</v>
      </c>
      <c r="H31" s="5">
        <f t="shared" si="3"/>
        <v>0.34735812133072397</v>
      </c>
      <c r="I31" s="5">
        <f t="shared" si="4"/>
        <v>0.3352692380531539</v>
      </c>
      <c r="J31" s="5">
        <v>0.99038461538461497</v>
      </c>
    </row>
    <row r="32" spans="1:10" ht="14.4" x14ac:dyDescent="0.25">
      <c r="A32" s="8" t="s">
        <v>128</v>
      </c>
      <c r="B32" s="4" t="s">
        <v>40</v>
      </c>
      <c r="C32" s="4">
        <v>0.32904734516366602</v>
      </c>
      <c r="D32" s="5">
        <f t="shared" si="0"/>
        <v>0.55738011593209802</v>
      </c>
      <c r="E32" s="5">
        <v>0.30058270064336101</v>
      </c>
      <c r="F32" s="5">
        <f t="shared" si="1"/>
        <v>0.55587211762813415</v>
      </c>
      <c r="G32" s="5">
        <f t="shared" si="2"/>
        <v>0.44412788237186585</v>
      </c>
      <c r="H32" s="5">
        <f t="shared" si="3"/>
        <v>0.37235529150761343</v>
      </c>
      <c r="I32" s="5">
        <f t="shared" si="4"/>
        <v>0.44412788237186585</v>
      </c>
      <c r="J32" s="5">
        <v>0.66666666666666596</v>
      </c>
    </row>
    <row r="33" spans="1:10" ht="14.4" x14ac:dyDescent="0.25">
      <c r="A33" s="8" t="s">
        <v>129</v>
      </c>
      <c r="B33" s="4" t="s">
        <v>41</v>
      </c>
      <c r="C33" s="4">
        <v>0.32923803928345602</v>
      </c>
      <c r="D33" s="5">
        <f t="shared" si="0"/>
        <v>0.55781856395630991</v>
      </c>
      <c r="E33" s="5">
        <v>0.28395061728394999</v>
      </c>
      <c r="F33" s="5">
        <f t="shared" si="1"/>
        <v>0.52511415525114113</v>
      </c>
      <c r="G33" s="5">
        <f t="shared" si="2"/>
        <v>0.47488584474885887</v>
      </c>
      <c r="H33" s="5">
        <f t="shared" si="3"/>
        <v>0.37941823101640443</v>
      </c>
      <c r="I33" s="5">
        <f t="shared" si="4"/>
        <v>0.47488584474885887</v>
      </c>
      <c r="J33" s="5">
        <v>0.8</v>
      </c>
    </row>
    <row r="34" spans="1:10" ht="14.4" x14ac:dyDescent="0.25">
      <c r="A34" s="8" t="s">
        <v>130</v>
      </c>
      <c r="B34" s="4" t="s">
        <v>42</v>
      </c>
      <c r="C34" s="4">
        <v>0.29429678670855303</v>
      </c>
      <c r="D34" s="5">
        <f t="shared" si="0"/>
        <v>0.47748088405394884</v>
      </c>
      <c r="E34" s="5">
        <v>0.44723092998955</v>
      </c>
      <c r="F34" s="5">
        <f t="shared" si="1"/>
        <v>0.82707089792588129</v>
      </c>
      <c r="G34" s="5">
        <f t="shared" si="2"/>
        <v>0.17292910207411871</v>
      </c>
      <c r="H34" s="5">
        <f t="shared" si="3"/>
        <v>0.31008001603183433</v>
      </c>
      <c r="I34" s="5">
        <f t="shared" si="4"/>
        <v>0.17292910207411863</v>
      </c>
      <c r="J34" s="5">
        <v>0.66666666666666596</v>
      </c>
    </row>
    <row r="35" spans="1:10" ht="14.4" x14ac:dyDescent="0.25">
      <c r="A35" s="8" t="s">
        <v>131</v>
      </c>
      <c r="B35" s="4" t="s">
        <v>43</v>
      </c>
      <c r="C35" s="4">
        <v>0.41674126768525999</v>
      </c>
      <c r="D35" s="5">
        <f t="shared" si="0"/>
        <v>0.75900786988338365</v>
      </c>
      <c r="E35" s="5">
        <v>0.39130434782608597</v>
      </c>
      <c r="F35" s="5">
        <f t="shared" si="1"/>
        <v>0.72364502680166687</v>
      </c>
      <c r="G35" s="5">
        <f t="shared" si="2"/>
        <v>0.27635497319833313</v>
      </c>
      <c r="H35" s="5">
        <f t="shared" si="3"/>
        <v>0.33382966051220953</v>
      </c>
      <c r="I35" s="5">
        <f t="shared" si="4"/>
        <v>0.27635497319833302</v>
      </c>
      <c r="J35" s="5">
        <v>0.6875</v>
      </c>
    </row>
    <row r="36" spans="1:10" ht="14.4" x14ac:dyDescent="0.25">
      <c r="A36" s="8" t="s">
        <v>132</v>
      </c>
      <c r="B36" s="4" t="s">
        <v>44</v>
      </c>
      <c r="C36" s="4">
        <v>0.52155593120557298</v>
      </c>
      <c r="D36" s="5">
        <f t="shared" si="0"/>
        <v>1</v>
      </c>
      <c r="E36" s="5">
        <v>3.4427456431091602E-2</v>
      </c>
      <c r="F36" s="5">
        <f t="shared" si="1"/>
        <v>6.3667213947909224E-2</v>
      </c>
      <c r="G36" s="5">
        <f t="shared" si="2"/>
        <v>0.9363327860520908</v>
      </c>
      <c r="H36" s="5">
        <f t="shared" si="3"/>
        <v>0.48538012124159119</v>
      </c>
      <c r="I36" s="5">
        <f t="shared" si="4"/>
        <v>0.9363327860520908</v>
      </c>
      <c r="J36" s="5">
        <v>0.96288815955566698</v>
      </c>
    </row>
    <row r="37" spans="1:10" ht="14.4" x14ac:dyDescent="0.25">
      <c r="A37" s="8" t="s">
        <v>2</v>
      </c>
      <c r="B37" s="4" t="s">
        <v>45</v>
      </c>
      <c r="C37" s="4">
        <v>0.32973095561566601</v>
      </c>
      <c r="D37" s="5">
        <f t="shared" si="0"/>
        <v>0.55895188779554095</v>
      </c>
      <c r="E37" s="5">
        <v>0.33315616972273898</v>
      </c>
      <c r="F37" s="5">
        <f t="shared" si="1"/>
        <v>0.61611072482972362</v>
      </c>
      <c r="G37" s="5">
        <f t="shared" si="2"/>
        <v>0.38388927517027638</v>
      </c>
      <c r="H37" s="5">
        <f t="shared" si="3"/>
        <v>0.35852272244650768</v>
      </c>
      <c r="I37" s="5">
        <f t="shared" si="4"/>
        <v>0.38388927517027643</v>
      </c>
      <c r="J37" s="5">
        <v>0.66666666666666596</v>
      </c>
    </row>
    <row r="38" spans="1:10" ht="14.4" x14ac:dyDescent="0.25">
      <c r="A38" s="8" t="s">
        <v>133</v>
      </c>
      <c r="B38" s="4" t="s">
        <v>46</v>
      </c>
      <c r="C38" s="4">
        <v>0.36560325363320301</v>
      </c>
      <c r="D38" s="5">
        <f t="shared" si="0"/>
        <v>0.64143024741693999</v>
      </c>
      <c r="E38" s="5">
        <v>0.27272727272727199</v>
      </c>
      <c r="F38" s="5">
        <f t="shared" si="1"/>
        <v>0.5043586550435859</v>
      </c>
      <c r="G38" s="5">
        <f t="shared" si="2"/>
        <v>0.4956413449564141</v>
      </c>
      <c r="H38" s="5">
        <f t="shared" si="3"/>
        <v>0.38418430884184307</v>
      </c>
      <c r="I38" s="5">
        <f t="shared" si="4"/>
        <v>0.49564134495641421</v>
      </c>
      <c r="J38" s="5">
        <v>0.9375</v>
      </c>
    </row>
    <row r="39" spans="1:10" ht="14.4" x14ac:dyDescent="0.25">
      <c r="A39" s="8" t="s">
        <v>134</v>
      </c>
      <c r="B39" s="4" t="s">
        <v>47</v>
      </c>
      <c r="C39" s="4">
        <v>0.339085566640842</v>
      </c>
      <c r="D39" s="5">
        <f t="shared" si="0"/>
        <v>0.58046021078827414</v>
      </c>
      <c r="E39" s="5">
        <v>0</v>
      </c>
      <c r="F39" s="5">
        <f t="shared" si="1"/>
        <v>0</v>
      </c>
      <c r="G39" s="5">
        <f t="shared" si="2"/>
        <v>1</v>
      </c>
      <c r="H39" s="5">
        <f t="shared" si="3"/>
        <v>0.5</v>
      </c>
      <c r="I39" s="5">
        <f t="shared" si="4"/>
        <v>1</v>
      </c>
      <c r="J39" s="5">
        <v>0.66666666666666596</v>
      </c>
    </row>
    <row r="40" spans="1:10" ht="14.4" x14ac:dyDescent="0.25">
      <c r="A40" s="8" t="s">
        <v>135</v>
      </c>
      <c r="B40" s="4" t="s">
        <v>48</v>
      </c>
      <c r="C40" s="4">
        <v>0.38888950468125399</v>
      </c>
      <c r="D40" s="5">
        <f t="shared" si="0"/>
        <v>0.69497049697765667</v>
      </c>
      <c r="E40" s="5">
        <v>0.41547049441786199</v>
      </c>
      <c r="F40" s="5">
        <f t="shared" si="1"/>
        <v>0.7683358458412527</v>
      </c>
      <c r="G40" s="5">
        <f t="shared" si="2"/>
        <v>0.2316641541587473</v>
      </c>
      <c r="H40" s="5">
        <f t="shared" si="3"/>
        <v>0.32356732428830465</v>
      </c>
      <c r="I40" s="5">
        <f t="shared" si="4"/>
        <v>0.23166415415874733</v>
      </c>
      <c r="J40" s="5">
        <v>0.74698795180722799</v>
      </c>
    </row>
    <row r="41" spans="1:10" ht="14.4" x14ac:dyDescent="0.25">
      <c r="A41" s="8" t="s">
        <v>181</v>
      </c>
      <c r="B41" s="4" t="s">
        <v>49</v>
      </c>
      <c r="C41" s="4">
        <v>0.18503111379770601</v>
      </c>
      <c r="D41" s="5">
        <f t="shared" si="0"/>
        <v>0.22625489735498533</v>
      </c>
      <c r="E41" s="5">
        <v>0.53529411764705803</v>
      </c>
      <c r="F41" s="5">
        <f t="shared" si="1"/>
        <v>0.98992747784045121</v>
      </c>
      <c r="G41" s="5">
        <f t="shared" si="2"/>
        <v>1.0072522159548791E-2</v>
      </c>
      <c r="H41" s="5">
        <f t="shared" si="3"/>
        <v>0.27268331990330341</v>
      </c>
      <c r="I41" s="5">
        <f t="shared" si="4"/>
        <v>1.0072522159548783E-2</v>
      </c>
      <c r="J41" s="5">
        <v>0.66666666666666596</v>
      </c>
    </row>
    <row r="42" spans="1:10" ht="14.4" x14ac:dyDescent="0.25">
      <c r="A42" s="8" t="s">
        <v>182</v>
      </c>
      <c r="B42" s="4" t="s">
        <v>50</v>
      </c>
      <c r="C42" s="4">
        <v>0.29972392333182801</v>
      </c>
      <c r="D42" s="5">
        <f t="shared" si="0"/>
        <v>0.48995907337736799</v>
      </c>
      <c r="E42" s="5">
        <v>0.35636146199091701</v>
      </c>
      <c r="F42" s="5">
        <f t="shared" si="1"/>
        <v>0.65902462149005292</v>
      </c>
      <c r="G42" s="5">
        <f t="shared" si="2"/>
        <v>0.34097537850994708</v>
      </c>
      <c r="H42" s="5">
        <f t="shared" si="3"/>
        <v>0.34866842025043204</v>
      </c>
      <c r="I42" s="5">
        <f t="shared" si="4"/>
        <v>0.34097537850994708</v>
      </c>
      <c r="J42" s="5">
        <v>0.85714285714285698</v>
      </c>
    </row>
    <row r="43" spans="1:10" ht="14.4" x14ac:dyDescent="0.25">
      <c r="A43" s="8" t="s">
        <v>3</v>
      </c>
      <c r="B43" s="4" t="s">
        <v>51</v>
      </c>
      <c r="C43" s="4">
        <v>0.40664895121092698</v>
      </c>
      <c r="D43" s="5">
        <f t="shared" si="0"/>
        <v>0.73580339864554789</v>
      </c>
      <c r="E43" s="5">
        <v>0.32083696599825601</v>
      </c>
      <c r="F43" s="5">
        <f t="shared" si="1"/>
        <v>0.59332863575020034</v>
      </c>
      <c r="G43" s="5">
        <f t="shared" si="2"/>
        <v>0.40667136424979966</v>
      </c>
      <c r="H43" s="5">
        <f t="shared" si="3"/>
        <v>0.36375416512402781</v>
      </c>
      <c r="I43" s="5">
        <f t="shared" si="4"/>
        <v>0.40667136424979949</v>
      </c>
      <c r="J43" s="5">
        <v>0.990291262135922</v>
      </c>
    </row>
    <row r="44" spans="1:10" ht="14.4" x14ac:dyDescent="0.25">
      <c r="A44" s="8" t="s">
        <v>136</v>
      </c>
      <c r="B44" s="4" t="s">
        <v>52</v>
      </c>
      <c r="C44" s="4">
        <v>0.34672524327957699</v>
      </c>
      <c r="D44" s="5">
        <f t="shared" si="0"/>
        <v>0.59802551973203755</v>
      </c>
      <c r="E44" s="5">
        <v>0.32324588207903998</v>
      </c>
      <c r="F44" s="5">
        <f t="shared" si="1"/>
        <v>0.5977834805571296</v>
      </c>
      <c r="G44" s="5">
        <f t="shared" si="2"/>
        <v>0.4022165194428704</v>
      </c>
      <c r="H44" s="5">
        <f t="shared" si="3"/>
        <v>0.36273120076095522</v>
      </c>
      <c r="I44" s="5">
        <f t="shared" si="4"/>
        <v>0.40221651944287051</v>
      </c>
      <c r="J44" s="5">
        <v>0.86363636363636298</v>
      </c>
    </row>
    <row r="45" spans="1:10" ht="14.4" x14ac:dyDescent="0.25">
      <c r="A45" s="8" t="s">
        <v>137</v>
      </c>
      <c r="B45" s="4" t="s">
        <v>53</v>
      </c>
      <c r="C45" s="4">
        <v>0.344577876891489</v>
      </c>
      <c r="D45" s="5">
        <f t="shared" si="0"/>
        <v>0.59308824871837007</v>
      </c>
      <c r="E45" s="5">
        <v>0.36711459499813298</v>
      </c>
      <c r="F45" s="5">
        <f t="shared" si="1"/>
        <v>0.67891055239380849</v>
      </c>
      <c r="G45" s="5">
        <f t="shared" si="2"/>
        <v>0.32108944760619151</v>
      </c>
      <c r="H45" s="5">
        <f t="shared" si="3"/>
        <v>0.34410202130216228</v>
      </c>
      <c r="I45" s="5">
        <f t="shared" si="4"/>
        <v>0.32108944760619168</v>
      </c>
      <c r="J45" s="5">
        <v>0.93243243243243201</v>
      </c>
    </row>
    <row r="46" spans="1:10" ht="14.4" x14ac:dyDescent="0.25">
      <c r="A46" s="8" t="s">
        <v>183</v>
      </c>
      <c r="B46" s="4" t="s">
        <v>54</v>
      </c>
      <c r="C46" s="4">
        <v>0.36366500723811401</v>
      </c>
      <c r="D46" s="5">
        <f t="shared" si="0"/>
        <v>0.6369737895917158</v>
      </c>
      <c r="E46" s="5">
        <v>0.32440433061031199</v>
      </c>
      <c r="F46" s="5">
        <f t="shared" si="1"/>
        <v>0.59992581688208468</v>
      </c>
      <c r="G46" s="5">
        <f t="shared" si="2"/>
        <v>0.40007418311791532</v>
      </c>
      <c r="H46" s="5">
        <f t="shared" si="3"/>
        <v>0.36223925686411362</v>
      </c>
      <c r="I46" s="5">
        <f t="shared" si="4"/>
        <v>0.40007418311791521</v>
      </c>
      <c r="J46" s="5">
        <v>0.91666666666666596</v>
      </c>
    </row>
    <row r="47" spans="1:10" ht="14.4" x14ac:dyDescent="0.25">
      <c r="A47" s="8" t="s">
        <v>138</v>
      </c>
      <c r="B47" s="4" t="s">
        <v>55</v>
      </c>
      <c r="C47" s="4">
        <v>0.36653429879044302</v>
      </c>
      <c r="D47" s="5">
        <f t="shared" si="0"/>
        <v>0.64357092647979419</v>
      </c>
      <c r="E47" s="5">
        <v>0.35944700460829399</v>
      </c>
      <c r="F47" s="5">
        <f t="shared" si="1"/>
        <v>0.66473076194684599</v>
      </c>
      <c r="G47" s="5">
        <f t="shared" si="2"/>
        <v>0.33526923805315401</v>
      </c>
      <c r="H47" s="5">
        <f t="shared" si="3"/>
        <v>0.34735812133072397</v>
      </c>
      <c r="I47" s="5">
        <f t="shared" si="4"/>
        <v>0.3352692380531539</v>
      </c>
      <c r="J47" s="5">
        <v>0.91359999999999997</v>
      </c>
    </row>
    <row r="48" spans="1:10" ht="14.4" x14ac:dyDescent="0.25">
      <c r="A48" s="8" t="s">
        <v>139</v>
      </c>
      <c r="B48" s="4" t="s">
        <v>56</v>
      </c>
      <c r="C48" s="4">
        <v>0.30467640528256101</v>
      </c>
      <c r="D48" s="5">
        <f t="shared" si="0"/>
        <v>0.50134592646247989</v>
      </c>
      <c r="E48" s="5">
        <v>0.288963154751185</v>
      </c>
      <c r="F48" s="5">
        <f t="shared" si="1"/>
        <v>0.53438391632068538</v>
      </c>
      <c r="G48" s="5">
        <f t="shared" si="2"/>
        <v>0.46561608367931462</v>
      </c>
      <c r="H48" s="5">
        <f t="shared" si="3"/>
        <v>0.37728961921524984</v>
      </c>
      <c r="I48" s="5">
        <f t="shared" si="4"/>
        <v>0.46561608367931473</v>
      </c>
      <c r="J48" s="5">
        <v>0.88</v>
      </c>
    </row>
    <row r="49" spans="1:10" ht="14.4" x14ac:dyDescent="0.25">
      <c r="A49" s="8" t="s">
        <v>140</v>
      </c>
      <c r="B49" s="4" t="s">
        <v>57</v>
      </c>
      <c r="C49" s="4">
        <v>0.33078639672732402</v>
      </c>
      <c r="D49" s="5">
        <f t="shared" si="0"/>
        <v>0.56137858071395896</v>
      </c>
      <c r="E49" s="5">
        <v>0.35289547054252901</v>
      </c>
      <c r="F49" s="5">
        <f t="shared" si="1"/>
        <v>0.65261491127728066</v>
      </c>
      <c r="G49" s="5">
        <f t="shared" si="2"/>
        <v>0.34738508872271934</v>
      </c>
      <c r="H49" s="5">
        <f t="shared" si="3"/>
        <v>0.35014027963262417</v>
      </c>
      <c r="I49" s="5">
        <f t="shared" si="4"/>
        <v>0.34738508872271928</v>
      </c>
      <c r="J49" s="5">
        <v>0.75</v>
      </c>
    </row>
    <row r="50" spans="1:10" ht="14.4" x14ac:dyDescent="0.25">
      <c r="A50" s="8" t="s">
        <v>141</v>
      </c>
      <c r="B50" s="4" t="s">
        <v>58</v>
      </c>
      <c r="C50" s="4">
        <v>0.29118094910471098</v>
      </c>
      <c r="D50" s="5">
        <f t="shared" si="0"/>
        <v>0.47031688317823334</v>
      </c>
      <c r="E50" s="5">
        <v>0.30252100840336099</v>
      </c>
      <c r="F50" s="5">
        <f t="shared" si="1"/>
        <v>0.55945665937607936</v>
      </c>
      <c r="G50" s="5">
        <f t="shared" si="2"/>
        <v>0.44054334062392064</v>
      </c>
      <c r="H50" s="5">
        <f t="shared" si="3"/>
        <v>0.37153217451364084</v>
      </c>
      <c r="I50" s="5">
        <f t="shared" si="4"/>
        <v>0.44054334062392075</v>
      </c>
      <c r="J50" s="5">
        <v>0.66666666666666596</v>
      </c>
    </row>
    <row r="51" spans="1:10" ht="14.4" x14ac:dyDescent="0.25">
      <c r="A51" s="8" t="s">
        <v>142</v>
      </c>
      <c r="B51" s="4" t="s">
        <v>59</v>
      </c>
      <c r="C51" s="4">
        <v>0.39052507319125102</v>
      </c>
      <c r="D51" s="5">
        <f t="shared" si="0"/>
        <v>0.69873103129544756</v>
      </c>
      <c r="E51" s="5">
        <v>0.240286337710063</v>
      </c>
      <c r="F51" s="5">
        <f t="shared" si="1"/>
        <v>0.4443651450802541</v>
      </c>
      <c r="G51" s="5">
        <f t="shared" si="2"/>
        <v>0.55563485491974585</v>
      </c>
      <c r="H51" s="5">
        <f t="shared" si="3"/>
        <v>0.39796059631490444</v>
      </c>
      <c r="I51" s="5">
        <f t="shared" si="4"/>
        <v>0.55563485491974585</v>
      </c>
      <c r="J51" s="5">
        <v>0.8</v>
      </c>
    </row>
    <row r="52" spans="1:10" ht="14.4" x14ac:dyDescent="0.25">
      <c r="A52" s="8" t="s">
        <v>143</v>
      </c>
      <c r="B52" s="4" t="s">
        <v>60</v>
      </c>
      <c r="C52" s="4">
        <v>0.35542685448046302</v>
      </c>
      <c r="D52" s="5">
        <f t="shared" si="0"/>
        <v>0.61803245147534014</v>
      </c>
      <c r="E52" s="5">
        <v>0.36281462939785802</v>
      </c>
      <c r="F52" s="5">
        <f t="shared" si="1"/>
        <v>0.67095856121521791</v>
      </c>
      <c r="G52" s="5">
        <f t="shared" si="2"/>
        <v>0.32904143878478209</v>
      </c>
      <c r="H52" s="5">
        <f t="shared" si="3"/>
        <v>0.34592803409132006</v>
      </c>
      <c r="I52" s="5">
        <f t="shared" si="4"/>
        <v>0.32904143878478204</v>
      </c>
      <c r="J52" s="5">
        <v>0.93333333333333302</v>
      </c>
    </row>
    <row r="53" spans="1:10" ht="14.4" x14ac:dyDescent="0.25">
      <c r="A53" s="8" t="s">
        <v>144</v>
      </c>
      <c r="B53" s="4" t="s">
        <v>61</v>
      </c>
      <c r="C53" s="4">
        <v>0.30052283778551803</v>
      </c>
      <c r="D53" s="5">
        <f t="shared" si="0"/>
        <v>0.49179595468299175</v>
      </c>
      <c r="E53" s="5">
        <v>0.39261331126947302</v>
      </c>
      <c r="F53" s="5">
        <f t="shared" si="1"/>
        <v>0.72606571262162922</v>
      </c>
      <c r="G53" s="5">
        <f t="shared" si="2"/>
        <v>0.27393428737837078</v>
      </c>
      <c r="H53" s="5">
        <f t="shared" si="3"/>
        <v>0.33327379932392187</v>
      </c>
      <c r="I53" s="5">
        <f t="shared" si="4"/>
        <v>0.27393428737837067</v>
      </c>
      <c r="J53" s="5">
        <v>0.75</v>
      </c>
    </row>
    <row r="54" spans="1:10" ht="14.4" x14ac:dyDescent="0.25">
      <c r="A54" s="8" t="s">
        <v>145</v>
      </c>
      <c r="B54" s="4" t="s">
        <v>62</v>
      </c>
      <c r="C54" s="4">
        <v>0.29997128305450299</v>
      </c>
      <c r="D54" s="5">
        <f t="shared" si="0"/>
        <v>0.49052780817525193</v>
      </c>
      <c r="E54" s="5">
        <v>0.183431952662721</v>
      </c>
      <c r="F54" s="5">
        <f t="shared" si="1"/>
        <v>0.33922347410229275</v>
      </c>
      <c r="G54" s="5">
        <f t="shared" si="2"/>
        <v>0.66077652589770719</v>
      </c>
      <c r="H54" s="5">
        <f t="shared" si="3"/>
        <v>0.42210423928021412</v>
      </c>
      <c r="I54" s="5">
        <f t="shared" si="4"/>
        <v>0.66077652589770719</v>
      </c>
      <c r="J54" s="5">
        <v>8.8485366054640302E-2</v>
      </c>
    </row>
    <row r="55" spans="1:10" ht="14.4" x14ac:dyDescent="0.25">
      <c r="A55" s="8" t="s">
        <v>146</v>
      </c>
      <c r="B55" s="4" t="s">
        <v>63</v>
      </c>
      <c r="C55" s="4">
        <v>0.38812508517502697</v>
      </c>
      <c r="D55" s="5">
        <f t="shared" si="0"/>
        <v>0.69321292719761685</v>
      </c>
      <c r="E55" s="5">
        <v>0.31897595571700399</v>
      </c>
      <c r="F55" s="5">
        <f t="shared" si="1"/>
        <v>0.58988704139446024</v>
      </c>
      <c r="G55" s="5">
        <f t="shared" si="2"/>
        <v>0.41011295860553976</v>
      </c>
      <c r="H55" s="5">
        <f t="shared" si="3"/>
        <v>0.36454445716127187</v>
      </c>
      <c r="I55" s="5">
        <f t="shared" si="4"/>
        <v>0.41011295860553981</v>
      </c>
      <c r="J55" s="5">
        <v>0.92118226600985198</v>
      </c>
    </row>
    <row r="56" spans="1:10" ht="14.4" x14ac:dyDescent="0.25">
      <c r="A56" s="8" t="s">
        <v>147</v>
      </c>
      <c r="B56" s="4" t="s">
        <v>64</v>
      </c>
      <c r="C56" s="4">
        <v>0.36620694852621499</v>
      </c>
      <c r="D56" s="5">
        <f t="shared" si="0"/>
        <v>0.64281827570726879</v>
      </c>
      <c r="E56" s="5">
        <v>0.34754990925589802</v>
      </c>
      <c r="F56" s="5">
        <f t="shared" si="1"/>
        <v>0.64272928424036024</v>
      </c>
      <c r="G56" s="5">
        <f t="shared" si="2"/>
        <v>0.35727071575963976</v>
      </c>
      <c r="H56" s="5">
        <f t="shared" si="3"/>
        <v>0.35241031250776889</v>
      </c>
      <c r="I56" s="5">
        <f t="shared" si="4"/>
        <v>0.35727071575963976</v>
      </c>
      <c r="J56" s="5">
        <v>0.97368421052631504</v>
      </c>
    </row>
    <row r="57" spans="1:10" ht="14.4" x14ac:dyDescent="0.25">
      <c r="A57" s="8" t="s">
        <v>148</v>
      </c>
      <c r="B57" s="4" t="s">
        <v>65</v>
      </c>
      <c r="C57" s="4">
        <v>0.37424590884113801</v>
      </c>
      <c r="D57" s="5">
        <f t="shared" si="0"/>
        <v>0.66130162627243838</v>
      </c>
      <c r="E57" s="5">
        <v>0.36186982313659899</v>
      </c>
      <c r="F57" s="5">
        <f t="shared" si="1"/>
        <v>0.66921131675946488</v>
      </c>
      <c r="G57" s="5">
        <f t="shared" si="2"/>
        <v>0.33078868324053512</v>
      </c>
      <c r="H57" s="5">
        <f t="shared" si="3"/>
        <v>0.34632925318856705</v>
      </c>
      <c r="I57" s="5">
        <f t="shared" si="4"/>
        <v>0.33078868324053506</v>
      </c>
      <c r="J57" s="5">
        <v>0.91304347826086896</v>
      </c>
    </row>
    <row r="58" spans="1:10" ht="14.4" x14ac:dyDescent="0.25">
      <c r="A58" s="8" t="s">
        <v>149</v>
      </c>
      <c r="B58" s="4" t="s">
        <v>66</v>
      </c>
      <c r="C58" s="4">
        <v>0.32619449105710702</v>
      </c>
      <c r="D58" s="5">
        <f t="shared" si="0"/>
        <v>0.55082077237308968</v>
      </c>
      <c r="E58" s="5">
        <v>0.41096979332273398</v>
      </c>
      <c r="F58" s="5">
        <f t="shared" si="1"/>
        <v>0.76001263148724885</v>
      </c>
      <c r="G58" s="5">
        <f t="shared" si="2"/>
        <v>0.23998736851275115</v>
      </c>
      <c r="H58" s="5">
        <f t="shared" si="3"/>
        <v>0.32547858091774257</v>
      </c>
      <c r="I58" s="5">
        <f t="shared" si="4"/>
        <v>0.23998736851275115</v>
      </c>
      <c r="J58" s="5">
        <v>0.66666666666666596</v>
      </c>
    </row>
    <row r="59" spans="1:10" ht="14.4" x14ac:dyDescent="0.25">
      <c r="A59" s="8" t="s">
        <v>150</v>
      </c>
      <c r="B59" s="4" t="s">
        <v>67</v>
      </c>
      <c r="C59" s="4">
        <v>0.35332119027423198</v>
      </c>
      <c r="D59" s="5">
        <f t="shared" si="0"/>
        <v>0.61319106301568449</v>
      </c>
      <c r="E59" s="5">
        <v>0.30555339797060099</v>
      </c>
      <c r="F59" s="5">
        <f t="shared" si="1"/>
        <v>0.56506450309631773</v>
      </c>
      <c r="G59" s="5">
        <f t="shared" si="2"/>
        <v>0.43493549690368227</v>
      </c>
      <c r="H59" s="5">
        <f t="shared" si="3"/>
        <v>0.37024444743714163</v>
      </c>
      <c r="I59" s="5">
        <f t="shared" si="4"/>
        <v>0.43493549690368227</v>
      </c>
      <c r="J59" s="5">
        <v>0.93929712460063897</v>
      </c>
    </row>
    <row r="60" spans="1:10" ht="14.4" x14ac:dyDescent="0.25">
      <c r="A60" s="8" t="s">
        <v>151</v>
      </c>
      <c r="B60" s="4" t="s">
        <v>68</v>
      </c>
      <c r="C60" s="4">
        <v>0.2856800205369</v>
      </c>
      <c r="D60" s="5">
        <f t="shared" si="0"/>
        <v>0.45766902982783642</v>
      </c>
      <c r="E60" s="5">
        <v>0.29559748427672899</v>
      </c>
      <c r="F60" s="5">
        <f t="shared" si="1"/>
        <v>0.54665288188162287</v>
      </c>
      <c r="G60" s="5">
        <f t="shared" si="2"/>
        <v>0.45334711811837713</v>
      </c>
      <c r="H60" s="5">
        <f t="shared" si="3"/>
        <v>0.37447230119755304</v>
      </c>
      <c r="I60" s="5">
        <f t="shared" si="4"/>
        <v>0.45334711811837702</v>
      </c>
      <c r="J60" s="5">
        <v>0.94117647058823495</v>
      </c>
    </row>
    <row r="61" spans="1:10" ht="14.4" x14ac:dyDescent="0.25">
      <c r="A61" s="8" t="s">
        <v>152</v>
      </c>
      <c r="B61" s="4" t="s">
        <v>69</v>
      </c>
      <c r="C61" s="4">
        <v>0.34461770762046701</v>
      </c>
      <c r="D61" s="5">
        <f t="shared" si="0"/>
        <v>0.59317982838764649</v>
      </c>
      <c r="E61" s="5">
        <v>0.31504917484628098</v>
      </c>
      <c r="F61" s="5">
        <f t="shared" si="1"/>
        <v>0.58262518635956151</v>
      </c>
      <c r="G61" s="5">
        <f t="shared" si="2"/>
        <v>0.41737481364043849</v>
      </c>
      <c r="H61" s="5">
        <f t="shared" si="3"/>
        <v>0.36621199424335971</v>
      </c>
      <c r="I61" s="5">
        <f t="shared" si="4"/>
        <v>0.41737481364043844</v>
      </c>
      <c r="J61" s="5">
        <v>0.88919667590027696</v>
      </c>
    </row>
    <row r="62" spans="1:10" ht="14.4" x14ac:dyDescent="0.25">
      <c r="A62" s="8" t="s">
        <v>4</v>
      </c>
      <c r="B62" s="4" t="s">
        <v>70</v>
      </c>
      <c r="C62" s="4">
        <v>0.36517492752534297</v>
      </c>
      <c r="D62" s="5">
        <f t="shared" si="0"/>
        <v>0.64044543081160177</v>
      </c>
      <c r="E62" s="5">
        <v>0.20433996383363401</v>
      </c>
      <c r="F62" s="5">
        <f t="shared" si="1"/>
        <v>0.37788897421288536</v>
      </c>
      <c r="G62" s="5">
        <f t="shared" si="2"/>
        <v>0.62211102578711464</v>
      </c>
      <c r="H62" s="5">
        <f t="shared" si="3"/>
        <v>0.41322549481037429</v>
      </c>
      <c r="I62" s="5">
        <f t="shared" si="4"/>
        <v>0.62211102578711452</v>
      </c>
      <c r="J62" s="5">
        <v>0.66666666666666596</v>
      </c>
    </row>
    <row r="63" spans="1:10" ht="14.4" x14ac:dyDescent="0.25">
      <c r="A63" s="8" t="s">
        <v>153</v>
      </c>
      <c r="B63" s="4" t="s">
        <v>71</v>
      </c>
      <c r="C63" s="4">
        <v>0.30940296781433302</v>
      </c>
      <c r="D63" s="5">
        <f t="shared" si="0"/>
        <v>0.51221334075743086</v>
      </c>
      <c r="E63" s="5">
        <v>0.228658651490596</v>
      </c>
      <c r="F63" s="5">
        <f t="shared" si="1"/>
        <v>0.42286188974288363</v>
      </c>
      <c r="G63" s="5">
        <f t="shared" si="2"/>
        <v>0.57713811025711637</v>
      </c>
      <c r="H63" s="5">
        <f t="shared" si="3"/>
        <v>0.40289838087385621</v>
      </c>
      <c r="I63" s="5">
        <f t="shared" si="4"/>
        <v>0.57713811025711648</v>
      </c>
      <c r="J63" s="5">
        <v>0.9</v>
      </c>
    </row>
    <row r="64" spans="1:10" ht="14.4" x14ac:dyDescent="0.25">
      <c r="A64" s="8" t="s">
        <v>154</v>
      </c>
      <c r="B64" s="4" t="s">
        <v>72</v>
      </c>
      <c r="C64" s="4">
        <v>0.263314015619252</v>
      </c>
      <c r="D64" s="5">
        <f t="shared" si="0"/>
        <v>0.40624462997506078</v>
      </c>
      <c r="E64" s="5">
        <v>0.37044163889801401</v>
      </c>
      <c r="F64" s="5">
        <f t="shared" si="1"/>
        <v>0.68506330481139677</v>
      </c>
      <c r="G64" s="5">
        <f t="shared" si="2"/>
        <v>0.31493669518860323</v>
      </c>
      <c r="H64" s="5">
        <f t="shared" si="3"/>
        <v>0.34268916704330865</v>
      </c>
      <c r="I64" s="5">
        <f t="shared" si="4"/>
        <v>0.31493669518860334</v>
      </c>
      <c r="J64" s="5">
        <v>0.66666666666666596</v>
      </c>
    </row>
    <row r="65" spans="1:10" ht="14.4" x14ac:dyDescent="0.25">
      <c r="A65" s="8" t="s">
        <v>184</v>
      </c>
      <c r="B65" s="4" t="s">
        <v>73</v>
      </c>
      <c r="C65" s="4">
        <v>0.25773872126290598</v>
      </c>
      <c r="D65" s="5">
        <f t="shared" si="0"/>
        <v>0.39342579320321364</v>
      </c>
      <c r="E65" s="5">
        <v>0.30794137695978102</v>
      </c>
      <c r="F65" s="5">
        <f t="shared" si="1"/>
        <v>0.56948062862425342</v>
      </c>
      <c r="G65" s="5">
        <f t="shared" si="2"/>
        <v>0.43051937137574658</v>
      </c>
      <c r="H65" s="5">
        <f t="shared" si="3"/>
        <v>0.36923037416776383</v>
      </c>
      <c r="I65" s="5">
        <f t="shared" si="4"/>
        <v>0.4305193713757467</v>
      </c>
      <c r="J65" s="5">
        <v>0.66666666666666596</v>
      </c>
    </row>
    <row r="66" spans="1:10" ht="14.4" x14ac:dyDescent="0.25">
      <c r="A66" s="8" t="s">
        <v>108</v>
      </c>
      <c r="B66" s="4" t="s">
        <v>74</v>
      </c>
      <c r="C66" s="4">
        <v>0.229503503159249</v>
      </c>
      <c r="D66" s="5">
        <f t="shared" si="0"/>
        <v>0.32850677207990631</v>
      </c>
      <c r="E66" s="5">
        <v>0.51549942594718701</v>
      </c>
      <c r="F66" s="5">
        <f t="shared" si="1"/>
        <v>0.95332085620370333</v>
      </c>
      <c r="G66" s="5">
        <f t="shared" si="2"/>
        <v>4.6679143796296674E-2</v>
      </c>
      <c r="H66" s="5">
        <f t="shared" si="3"/>
        <v>0.28108928487174184</v>
      </c>
      <c r="I66" s="5">
        <f t="shared" si="4"/>
        <v>4.6679143796296715E-2</v>
      </c>
      <c r="J66" s="5">
        <v>0.66666666666666596</v>
      </c>
    </row>
    <row r="67" spans="1:10" ht="14.4" x14ac:dyDescent="0.25">
      <c r="A67" s="8" t="s">
        <v>155</v>
      </c>
      <c r="B67" s="4" t="s">
        <v>75</v>
      </c>
      <c r="C67" s="4">
        <v>0.38402662857495101</v>
      </c>
      <c r="D67" s="5">
        <f t="shared" ref="D67:D95" si="5">(C67-$C$99)/($C$101-$C$99)</f>
        <v>0.68378966757849502</v>
      </c>
      <c r="E67" s="5">
        <v>0.30360934182590199</v>
      </c>
      <c r="F67" s="5">
        <f t="shared" ref="F67:F95" si="6">(E67-$E$99)/($E$101-$E$99)</f>
        <v>0.56146933077392913</v>
      </c>
      <c r="G67" s="5">
        <f t="shared" ref="G67:G95" si="7">1-F67</f>
        <v>0.43853066922607087</v>
      </c>
      <c r="H67" s="5">
        <f t="shared" ref="H67:H95" si="8">(E67+G67)/2</f>
        <v>0.37107000552598646</v>
      </c>
      <c r="I67" s="5">
        <f t="shared" ref="I67:I95" si="9">(H67-$H$99)/($H$101-$H$99)</f>
        <v>0.43853066922607098</v>
      </c>
      <c r="J67" s="5">
        <v>0.66666666666666596</v>
      </c>
    </row>
    <row r="68" spans="1:10" ht="14.4" x14ac:dyDescent="0.25">
      <c r="A68" s="8" t="s">
        <v>185</v>
      </c>
      <c r="B68" s="4" t="s">
        <v>76</v>
      </c>
      <c r="C68" s="4">
        <v>8.6626112254252693E-2</v>
      </c>
      <c r="D68" s="5">
        <f t="shared" si="5"/>
        <v>0</v>
      </c>
      <c r="E68" s="5">
        <v>5.2631578947368397E-2</v>
      </c>
      <c r="F68" s="5">
        <f t="shared" si="6"/>
        <v>9.7332372025955391E-2</v>
      </c>
      <c r="G68" s="5">
        <f t="shared" si="7"/>
        <v>0.90266762797404465</v>
      </c>
      <c r="H68" s="5">
        <f t="shared" si="8"/>
        <v>0.47764960346070651</v>
      </c>
      <c r="I68" s="5">
        <f t="shared" si="9"/>
        <v>0.90266762797404465</v>
      </c>
      <c r="J68" s="5">
        <v>7.13499892443379E-2</v>
      </c>
    </row>
    <row r="69" spans="1:10" ht="14.4" x14ac:dyDescent="0.25">
      <c r="A69" s="8" t="s">
        <v>5</v>
      </c>
      <c r="B69" s="4" t="s">
        <v>77</v>
      </c>
      <c r="C69" s="4">
        <v>0.19452123175905001</v>
      </c>
      <c r="D69" s="5">
        <f t="shared" si="5"/>
        <v>0.24807478081164522</v>
      </c>
      <c r="E69" s="5">
        <v>0.123595505617977</v>
      </c>
      <c r="F69" s="5">
        <f t="shared" si="6"/>
        <v>0.22856703093735506</v>
      </c>
      <c r="G69" s="5">
        <f t="shared" si="7"/>
        <v>0.77143296906264491</v>
      </c>
      <c r="H69" s="5">
        <f t="shared" si="8"/>
        <v>0.44751423734031093</v>
      </c>
      <c r="I69" s="5">
        <f t="shared" si="9"/>
        <v>0.7714329690626448</v>
      </c>
      <c r="J69" s="5">
        <v>0.17621688231669699</v>
      </c>
    </row>
    <row r="70" spans="1:10" ht="14.4" x14ac:dyDescent="0.25">
      <c r="A70" s="8" t="s">
        <v>156</v>
      </c>
      <c r="B70" s="4" t="s">
        <v>78</v>
      </c>
      <c r="C70" s="4">
        <v>0.33162201548510101</v>
      </c>
      <c r="D70" s="5">
        <f t="shared" si="5"/>
        <v>0.56329985334546484</v>
      </c>
      <c r="E70" s="5">
        <v>0.30460649328573802</v>
      </c>
      <c r="F70" s="5">
        <f t="shared" si="6"/>
        <v>0.56331337799417391</v>
      </c>
      <c r="G70" s="5">
        <f t="shared" si="7"/>
        <v>0.43668662200582609</v>
      </c>
      <c r="H70" s="5">
        <f t="shared" si="8"/>
        <v>0.37064655764578203</v>
      </c>
      <c r="I70" s="5">
        <f t="shared" si="9"/>
        <v>0.43668662200582592</v>
      </c>
      <c r="J70" s="5">
        <v>0.66666666666666596</v>
      </c>
    </row>
    <row r="71" spans="1:10" ht="14.4" x14ac:dyDescent="0.25">
      <c r="A71" s="8" t="s">
        <v>157</v>
      </c>
      <c r="B71" s="4" t="s">
        <v>79</v>
      </c>
      <c r="C71" s="4">
        <v>8.6626112254252693E-2</v>
      </c>
      <c r="D71" s="5">
        <f t="shared" si="5"/>
        <v>0</v>
      </c>
      <c r="E71" s="5">
        <v>0.36054421768707401</v>
      </c>
      <c r="F71" s="5">
        <f t="shared" si="6"/>
        <v>0.66675985462678167</v>
      </c>
      <c r="G71" s="5">
        <f t="shared" si="7"/>
        <v>0.33324014537321833</v>
      </c>
      <c r="H71" s="5">
        <f t="shared" si="8"/>
        <v>0.34689218153014617</v>
      </c>
      <c r="I71" s="5">
        <f t="shared" si="9"/>
        <v>0.33324014537321833</v>
      </c>
      <c r="J71" s="5">
        <v>0.90468822528237602</v>
      </c>
    </row>
    <row r="72" spans="1:10" ht="14.4" x14ac:dyDescent="0.25">
      <c r="A72" s="8" t="s">
        <v>158</v>
      </c>
      <c r="B72" s="4" t="s">
        <v>80</v>
      </c>
      <c r="C72" s="4">
        <v>0.321422826133894</v>
      </c>
      <c r="D72" s="5">
        <f t="shared" si="5"/>
        <v>0.53984965768907422</v>
      </c>
      <c r="E72" s="5">
        <v>0.30794137695978102</v>
      </c>
      <c r="F72" s="5">
        <f t="shared" si="6"/>
        <v>0.56948062862425342</v>
      </c>
      <c r="G72" s="5">
        <f t="shared" si="7"/>
        <v>0.43051937137574658</v>
      </c>
      <c r="H72" s="5">
        <f t="shared" si="8"/>
        <v>0.36923037416776383</v>
      </c>
      <c r="I72" s="5">
        <f t="shared" si="9"/>
        <v>0.4305193713757467</v>
      </c>
      <c r="J72" s="5">
        <v>0.66666666666666596</v>
      </c>
    </row>
    <row r="73" spans="1:10" ht="14.4" x14ac:dyDescent="0.25">
      <c r="A73" s="8" t="s">
        <v>159</v>
      </c>
      <c r="B73" s="4" t="s">
        <v>81</v>
      </c>
      <c r="C73" s="4">
        <v>0.12976766570762599</v>
      </c>
      <c r="D73" s="5">
        <f t="shared" si="5"/>
        <v>9.9191988163501693E-2</v>
      </c>
      <c r="E73" s="5">
        <v>3.6269430051813399E-2</v>
      </c>
      <c r="F73" s="5">
        <f t="shared" si="6"/>
        <v>6.7073603520476935E-2</v>
      </c>
      <c r="G73" s="5">
        <f t="shared" si="7"/>
        <v>0.93292639647952302</v>
      </c>
      <c r="H73" s="5">
        <f t="shared" si="8"/>
        <v>0.4845979132656682</v>
      </c>
      <c r="I73" s="5">
        <f t="shared" si="9"/>
        <v>0.93292639647952291</v>
      </c>
      <c r="J73" s="5">
        <v>3.5087719298245598E-2</v>
      </c>
    </row>
    <row r="74" spans="1:10" ht="14.4" x14ac:dyDescent="0.25">
      <c r="A74" s="8" t="s">
        <v>160</v>
      </c>
      <c r="B74" s="4" t="s">
        <v>82</v>
      </c>
      <c r="C74" s="4">
        <v>0.36206592007219202</v>
      </c>
      <c r="D74" s="5">
        <f t="shared" si="5"/>
        <v>0.63329713396534915</v>
      </c>
      <c r="E74" s="5">
        <v>0.33713674451773901</v>
      </c>
      <c r="F74" s="5">
        <f t="shared" si="6"/>
        <v>0.62347206177938119</v>
      </c>
      <c r="G74" s="5">
        <f t="shared" si="7"/>
        <v>0.37652793822061881</v>
      </c>
      <c r="H74" s="5">
        <f t="shared" si="8"/>
        <v>0.35683234136917891</v>
      </c>
      <c r="I74" s="5">
        <f t="shared" si="9"/>
        <v>0.37652793822061886</v>
      </c>
      <c r="J74" s="5">
        <v>0.83333333333333304</v>
      </c>
    </row>
    <row r="75" spans="1:10" ht="14.4" x14ac:dyDescent="0.25">
      <c r="A75" s="8" t="s">
        <v>186</v>
      </c>
      <c r="B75" s="4" t="s">
        <v>83</v>
      </c>
      <c r="C75" s="4">
        <v>0.30605194660595603</v>
      </c>
      <c r="D75" s="5">
        <f t="shared" si="5"/>
        <v>0.50450860067670522</v>
      </c>
      <c r="E75" s="5">
        <v>0.29755605946082098</v>
      </c>
      <c r="F75" s="5">
        <f t="shared" si="6"/>
        <v>0.55027490448234095</v>
      </c>
      <c r="G75" s="5">
        <f t="shared" si="7"/>
        <v>0.44972509551765905</v>
      </c>
      <c r="H75" s="5">
        <f t="shared" si="8"/>
        <v>0.37364057748924001</v>
      </c>
      <c r="I75" s="5">
        <f t="shared" si="9"/>
        <v>0.44972509551765905</v>
      </c>
      <c r="J75" s="5">
        <v>0.8</v>
      </c>
    </row>
    <row r="76" spans="1:10" ht="14.4" x14ac:dyDescent="0.25">
      <c r="A76" s="8" t="s">
        <v>161</v>
      </c>
      <c r="B76" s="4" t="s">
        <v>84</v>
      </c>
      <c r="C76" s="4">
        <v>0.34531586011920401</v>
      </c>
      <c r="D76" s="5">
        <f t="shared" si="5"/>
        <v>0.59478503563791119</v>
      </c>
      <c r="E76" s="5">
        <v>0.26587301587301498</v>
      </c>
      <c r="F76" s="5">
        <f t="shared" si="6"/>
        <v>0.49168297455968596</v>
      </c>
      <c r="G76" s="5">
        <f t="shared" si="7"/>
        <v>0.50831702544031399</v>
      </c>
      <c r="H76" s="5">
        <f t="shared" si="8"/>
        <v>0.38709502065666446</v>
      </c>
      <c r="I76" s="5">
        <f t="shared" si="9"/>
        <v>0.50831702544031376</v>
      </c>
      <c r="J76" s="5">
        <v>0.83333333333333304</v>
      </c>
    </row>
    <row r="77" spans="1:10" ht="14.4" x14ac:dyDescent="0.25">
      <c r="A77" s="8" t="s">
        <v>162</v>
      </c>
      <c r="B77" s="4" t="s">
        <v>85</v>
      </c>
      <c r="C77" s="4">
        <v>0.371111950182965</v>
      </c>
      <c r="D77" s="5">
        <f t="shared" si="5"/>
        <v>0.65409596107861601</v>
      </c>
      <c r="E77" s="5">
        <v>0.36686968245850499</v>
      </c>
      <c r="F77" s="5">
        <f t="shared" si="6"/>
        <v>0.67845763194381159</v>
      </c>
      <c r="G77" s="5">
        <f t="shared" si="7"/>
        <v>0.32154236805618841</v>
      </c>
      <c r="H77" s="5">
        <f t="shared" si="8"/>
        <v>0.34420602525734667</v>
      </c>
      <c r="I77" s="5">
        <f t="shared" si="9"/>
        <v>0.32154236805618824</v>
      </c>
      <c r="J77" s="5">
        <v>0.47154471544715398</v>
      </c>
    </row>
    <row r="78" spans="1:10" ht="14.4" x14ac:dyDescent="0.25">
      <c r="A78" s="8" t="s">
        <v>187</v>
      </c>
      <c r="B78" s="4" t="s">
        <v>86</v>
      </c>
      <c r="C78" s="4">
        <v>0.415067045046561</v>
      </c>
      <c r="D78" s="5">
        <f t="shared" si="5"/>
        <v>0.75515846116099294</v>
      </c>
      <c r="E78" s="5">
        <v>0.29941126997476802</v>
      </c>
      <c r="F78" s="5">
        <f t="shared" si="6"/>
        <v>0.55370577324101011</v>
      </c>
      <c r="G78" s="5">
        <f t="shared" si="7"/>
        <v>0.44629422675898989</v>
      </c>
      <c r="H78" s="5">
        <f t="shared" si="8"/>
        <v>0.37285274836687898</v>
      </c>
      <c r="I78" s="5">
        <f t="shared" si="9"/>
        <v>0.44629422675899005</v>
      </c>
      <c r="J78" s="5">
        <v>0.875</v>
      </c>
    </row>
    <row r="79" spans="1:10" ht="14.4" x14ac:dyDescent="0.25">
      <c r="A79" s="8" t="s">
        <v>163</v>
      </c>
      <c r="B79" s="4" t="s">
        <v>87</v>
      </c>
      <c r="C79" s="4">
        <v>0.31008987377915198</v>
      </c>
      <c r="D79" s="5">
        <f t="shared" si="5"/>
        <v>0.51379268973487091</v>
      </c>
      <c r="E79" s="5">
        <v>0.203643461288223</v>
      </c>
      <c r="F79" s="5">
        <f t="shared" si="6"/>
        <v>0.37660092156041292</v>
      </c>
      <c r="G79" s="5">
        <f t="shared" si="7"/>
        <v>0.62339907843958708</v>
      </c>
      <c r="H79" s="5">
        <f t="shared" si="8"/>
        <v>0.41352126986390503</v>
      </c>
      <c r="I79" s="5">
        <f t="shared" si="9"/>
        <v>0.62339907843958708</v>
      </c>
      <c r="J79" s="5">
        <v>0.66666666666666596</v>
      </c>
    </row>
    <row r="80" spans="1:10" ht="14.4" x14ac:dyDescent="0.25">
      <c r="A80" s="8" t="s">
        <v>164</v>
      </c>
      <c r="B80" s="4" t="s">
        <v>88</v>
      </c>
      <c r="C80" s="4">
        <v>0.330529521892381</v>
      </c>
      <c r="D80" s="5">
        <f t="shared" si="5"/>
        <v>0.56078796856517055</v>
      </c>
      <c r="E80" s="5">
        <v>0.35357600146332502</v>
      </c>
      <c r="F80" s="5">
        <f t="shared" si="6"/>
        <v>0.65387342736368415</v>
      </c>
      <c r="G80" s="5">
        <f t="shared" si="7"/>
        <v>0.34612657263631585</v>
      </c>
      <c r="H80" s="5">
        <f t="shared" si="8"/>
        <v>0.34985128704982044</v>
      </c>
      <c r="I80" s="5">
        <f t="shared" si="9"/>
        <v>0.34612657263631591</v>
      </c>
      <c r="J80" s="5">
        <v>0.96103896103896103</v>
      </c>
    </row>
    <row r="81" spans="1:10" ht="14.4" x14ac:dyDescent="0.25">
      <c r="A81" s="8" t="s">
        <v>165</v>
      </c>
      <c r="B81" s="4" t="s">
        <v>89</v>
      </c>
      <c r="C81" s="4">
        <v>0.32289403573986297</v>
      </c>
      <c r="D81" s="5">
        <f t="shared" si="5"/>
        <v>0.5432322944775021</v>
      </c>
      <c r="E81" s="5">
        <v>0.32337526205450701</v>
      </c>
      <c r="F81" s="5">
        <f t="shared" si="6"/>
        <v>0.59802274489532203</v>
      </c>
      <c r="G81" s="5">
        <f t="shared" si="7"/>
        <v>0.40197725510467797</v>
      </c>
      <c r="H81" s="5">
        <f t="shared" si="8"/>
        <v>0.36267625857959251</v>
      </c>
      <c r="I81" s="5">
        <f t="shared" si="9"/>
        <v>0.40197725510467808</v>
      </c>
      <c r="J81" s="5">
        <v>0.66666666666666596</v>
      </c>
    </row>
    <row r="82" spans="1:10" ht="14.4" x14ac:dyDescent="0.25">
      <c r="A82" s="8" t="s">
        <v>6</v>
      </c>
      <c r="B82" s="4" t="s">
        <v>90</v>
      </c>
      <c r="C82" s="4">
        <v>0.36647938833621602</v>
      </c>
      <c r="D82" s="5">
        <f t="shared" si="5"/>
        <v>0.64344467518168957</v>
      </c>
      <c r="E82" s="5">
        <v>0.24183006535947699</v>
      </c>
      <c r="F82" s="5">
        <f t="shared" si="6"/>
        <v>0.44721998388396494</v>
      </c>
      <c r="G82" s="5">
        <f t="shared" si="7"/>
        <v>0.552780016116035</v>
      </c>
      <c r="H82" s="5">
        <f t="shared" si="8"/>
        <v>0.39730504073775597</v>
      </c>
      <c r="I82" s="5">
        <f t="shared" si="9"/>
        <v>0.55278001611603478</v>
      </c>
      <c r="J82" s="5">
        <v>0.88888888888888795</v>
      </c>
    </row>
    <row r="83" spans="1:10" ht="14.4" x14ac:dyDescent="0.25">
      <c r="A83" s="8" t="s">
        <v>166</v>
      </c>
      <c r="B83" s="4" t="s">
        <v>91</v>
      </c>
      <c r="C83" s="4">
        <v>0.36518408101213401</v>
      </c>
      <c r="D83" s="5">
        <f t="shared" si="5"/>
        <v>0.64046647670542689</v>
      </c>
      <c r="E83" s="5">
        <v>0.29685408299866101</v>
      </c>
      <c r="F83" s="5">
        <f t="shared" si="6"/>
        <v>0.54897672883314097</v>
      </c>
      <c r="G83" s="5">
        <f t="shared" si="7"/>
        <v>0.45102327116685903</v>
      </c>
      <c r="H83" s="5">
        <f t="shared" si="8"/>
        <v>0.37393867708276002</v>
      </c>
      <c r="I83" s="5">
        <f t="shared" si="9"/>
        <v>0.45102327116685909</v>
      </c>
      <c r="J83" s="5">
        <v>0.66666666666666596</v>
      </c>
    </row>
    <row r="84" spans="1:10" ht="14.4" x14ac:dyDescent="0.25">
      <c r="A84" s="8" t="s">
        <v>167</v>
      </c>
      <c r="B84" s="4" t="s">
        <v>92</v>
      </c>
      <c r="C84" s="4">
        <v>0.27607903343861701</v>
      </c>
      <c r="D84" s="5">
        <f t="shared" si="5"/>
        <v>0.43559423366547539</v>
      </c>
      <c r="E84" s="5">
        <v>0.192498230714791</v>
      </c>
      <c r="F84" s="5">
        <f t="shared" si="6"/>
        <v>0.35598987871913457</v>
      </c>
      <c r="G84" s="5">
        <f t="shared" si="7"/>
        <v>0.64401012128086543</v>
      </c>
      <c r="H84" s="5">
        <f t="shared" si="8"/>
        <v>0.41825417599782821</v>
      </c>
      <c r="I84" s="5">
        <f t="shared" si="9"/>
        <v>0.64401012128086543</v>
      </c>
      <c r="J84" s="5">
        <v>0.66666666666666596</v>
      </c>
    </row>
    <row r="85" spans="1:10" ht="14.4" x14ac:dyDescent="0.25">
      <c r="A85" s="8" t="s">
        <v>168</v>
      </c>
      <c r="B85" s="4" t="s">
        <v>93</v>
      </c>
      <c r="C85" s="4">
        <v>0.30641547458088902</v>
      </c>
      <c r="D85" s="5">
        <f t="shared" si="5"/>
        <v>0.50534443202027579</v>
      </c>
      <c r="E85" s="5">
        <v>0.28633271490414303</v>
      </c>
      <c r="F85" s="5">
        <f t="shared" si="6"/>
        <v>0.52951940427478583</v>
      </c>
      <c r="G85" s="5">
        <f t="shared" si="7"/>
        <v>0.47048059572521417</v>
      </c>
      <c r="H85" s="5">
        <f t="shared" si="8"/>
        <v>0.3784066553146786</v>
      </c>
      <c r="I85" s="5">
        <f t="shared" si="9"/>
        <v>0.47048059572521411</v>
      </c>
      <c r="J85" s="5">
        <v>0.66666666666666596</v>
      </c>
    </row>
    <row r="86" spans="1:10" ht="14.4" x14ac:dyDescent="0.25">
      <c r="A86" s="8" t="s">
        <v>169</v>
      </c>
      <c r="B86" s="4" t="s">
        <v>94</v>
      </c>
      <c r="C86" s="4">
        <v>0.347604323148832</v>
      </c>
      <c r="D86" s="5">
        <f t="shared" si="5"/>
        <v>0.60004671908639451</v>
      </c>
      <c r="E86" s="5">
        <v>0.36363636363636298</v>
      </c>
      <c r="F86" s="5">
        <f t="shared" si="6"/>
        <v>0.67247820672478187</v>
      </c>
      <c r="G86" s="5">
        <f t="shared" si="7"/>
        <v>0.32752179327521813</v>
      </c>
      <c r="H86" s="5">
        <f t="shared" si="8"/>
        <v>0.34557907845579056</v>
      </c>
      <c r="I86" s="5">
        <f t="shared" si="9"/>
        <v>0.32752179327521808</v>
      </c>
      <c r="J86" s="5">
        <v>0.66666666666666596</v>
      </c>
    </row>
    <row r="87" spans="1:10" ht="14.4" x14ac:dyDescent="0.25">
      <c r="A87" s="8" t="s">
        <v>170</v>
      </c>
      <c r="B87" s="4" t="s">
        <v>95</v>
      </c>
      <c r="C87" s="4">
        <v>0.41772556299637098</v>
      </c>
      <c r="D87" s="5">
        <f t="shared" si="5"/>
        <v>0.7612709828460319</v>
      </c>
      <c r="E87" s="5">
        <v>0.38095238095237999</v>
      </c>
      <c r="F87" s="5">
        <f t="shared" si="6"/>
        <v>0.7045009784735804</v>
      </c>
      <c r="G87" s="5">
        <f t="shared" si="7"/>
        <v>0.2954990215264196</v>
      </c>
      <c r="H87" s="5">
        <f t="shared" si="8"/>
        <v>0.33822570123939977</v>
      </c>
      <c r="I87" s="5">
        <f t="shared" si="9"/>
        <v>0.29549902152641955</v>
      </c>
      <c r="J87" s="5">
        <v>0.875</v>
      </c>
    </row>
    <row r="88" spans="1:10" ht="14.4" x14ac:dyDescent="0.25">
      <c r="A88" s="8" t="s">
        <v>171</v>
      </c>
      <c r="B88" s="4" t="s">
        <v>96</v>
      </c>
      <c r="C88" s="4">
        <v>0.29513705640936899</v>
      </c>
      <c r="D88" s="5">
        <f t="shared" si="5"/>
        <v>0.47941285023378444</v>
      </c>
      <c r="E88" s="5">
        <v>0.39762092298906399</v>
      </c>
      <c r="F88" s="5">
        <f t="shared" si="6"/>
        <v>0.73532636443183175</v>
      </c>
      <c r="G88" s="5">
        <f t="shared" si="7"/>
        <v>0.26467363556816825</v>
      </c>
      <c r="H88" s="5">
        <f t="shared" si="8"/>
        <v>0.33114727927861609</v>
      </c>
      <c r="I88" s="5">
        <f t="shared" si="9"/>
        <v>0.26467363556816809</v>
      </c>
      <c r="J88" s="5">
        <v>0.66666666666666596</v>
      </c>
    </row>
    <row r="89" spans="1:10" ht="14.4" x14ac:dyDescent="0.25">
      <c r="A89" s="8" t="s">
        <v>188</v>
      </c>
      <c r="B89" s="4" t="s">
        <v>97</v>
      </c>
      <c r="C89" s="4">
        <v>0.36437016556163798</v>
      </c>
      <c r="D89" s="5">
        <f t="shared" si="5"/>
        <v>0.63859510478510539</v>
      </c>
      <c r="E89" s="5">
        <v>0.41641641641641602</v>
      </c>
      <c r="F89" s="5">
        <f t="shared" si="6"/>
        <v>0.77008515364679786</v>
      </c>
      <c r="G89" s="5">
        <f t="shared" si="7"/>
        <v>0.22991484635320214</v>
      </c>
      <c r="H89" s="5">
        <f t="shared" si="8"/>
        <v>0.32316563138480908</v>
      </c>
      <c r="I89" s="5">
        <f t="shared" si="9"/>
        <v>0.22991484635320214</v>
      </c>
      <c r="J89" s="5">
        <v>0.73076923076922995</v>
      </c>
    </row>
    <row r="90" spans="1:10" ht="14.4" x14ac:dyDescent="0.25">
      <c r="A90" s="8" t="s">
        <v>172</v>
      </c>
      <c r="B90" s="4" t="s">
        <v>98</v>
      </c>
      <c r="C90" s="4">
        <v>0.29405149941304698</v>
      </c>
      <c r="D90" s="5">
        <f t="shared" si="5"/>
        <v>0.4769169142252131</v>
      </c>
      <c r="E90" s="5">
        <v>0.16785835886959399</v>
      </c>
      <c r="F90" s="5">
        <f t="shared" si="6"/>
        <v>0.31042299243007154</v>
      </c>
      <c r="G90" s="5">
        <f t="shared" si="7"/>
        <v>0.68957700756992846</v>
      </c>
      <c r="H90" s="5">
        <f t="shared" si="8"/>
        <v>0.42871768321976123</v>
      </c>
      <c r="I90" s="5">
        <f t="shared" si="9"/>
        <v>0.68957700756992846</v>
      </c>
      <c r="J90" s="5">
        <v>0.66666666666666596</v>
      </c>
    </row>
    <row r="91" spans="1:10" ht="14.4" x14ac:dyDescent="0.25">
      <c r="A91" s="8" t="s">
        <v>173</v>
      </c>
      <c r="B91" s="4" t="s">
        <v>99</v>
      </c>
      <c r="C91" s="4">
        <v>0.22644554137624801</v>
      </c>
      <c r="D91" s="5">
        <f t="shared" si="5"/>
        <v>0.32147584053703304</v>
      </c>
      <c r="E91" s="5">
        <v>0.40196078431372501</v>
      </c>
      <c r="F91" s="5">
        <f t="shared" si="6"/>
        <v>0.74335213537469802</v>
      </c>
      <c r="G91" s="5">
        <f t="shared" si="7"/>
        <v>0.25664786462530198</v>
      </c>
      <c r="H91" s="5">
        <f t="shared" si="8"/>
        <v>0.32930432446951352</v>
      </c>
      <c r="I91" s="5">
        <f t="shared" si="9"/>
        <v>0.25664786462530209</v>
      </c>
      <c r="J91" s="5">
        <v>0.66666666666666596</v>
      </c>
    </row>
    <row r="92" spans="1:10" ht="14.4" x14ac:dyDescent="0.25">
      <c r="A92" s="8" t="s">
        <v>174</v>
      </c>
      <c r="B92" s="4" t="s">
        <v>100</v>
      </c>
      <c r="C92" s="4">
        <v>0.34066809786452501</v>
      </c>
      <c r="D92" s="5">
        <f t="shared" si="5"/>
        <v>0.58409880063593911</v>
      </c>
      <c r="E92" s="5">
        <v>0.187590035487157</v>
      </c>
      <c r="F92" s="5">
        <f t="shared" si="6"/>
        <v>0.34691307932556481</v>
      </c>
      <c r="G92" s="5">
        <f t="shared" si="7"/>
        <v>0.65308692067443519</v>
      </c>
      <c r="H92" s="5">
        <f t="shared" si="8"/>
        <v>0.42033847808079611</v>
      </c>
      <c r="I92" s="5">
        <f t="shared" si="9"/>
        <v>0.6530869206744353</v>
      </c>
      <c r="J92" s="5">
        <v>0.66666666666666596</v>
      </c>
    </row>
    <row r="93" spans="1:10" ht="14.4" x14ac:dyDescent="0.25">
      <c r="A93" s="8" t="s">
        <v>175</v>
      </c>
      <c r="B93" s="4" t="s">
        <v>101</v>
      </c>
      <c r="C93" s="4">
        <v>0.37106238630348598</v>
      </c>
      <c r="D93" s="5">
        <f t="shared" si="5"/>
        <v>0.65398200274023732</v>
      </c>
      <c r="E93" s="5">
        <v>0.256004409796046</v>
      </c>
      <c r="F93" s="5">
        <f t="shared" si="6"/>
        <v>0.47343281263652409</v>
      </c>
      <c r="G93" s="5">
        <f t="shared" si="7"/>
        <v>0.52656718736347585</v>
      </c>
      <c r="H93" s="5">
        <f t="shared" si="8"/>
        <v>0.39128579857976092</v>
      </c>
      <c r="I93" s="5">
        <f t="shared" si="9"/>
        <v>0.52656718736347574</v>
      </c>
      <c r="J93" s="5">
        <v>0.66666666666666596</v>
      </c>
    </row>
    <row r="94" spans="1:10" ht="14.4" x14ac:dyDescent="0.25">
      <c r="A94" s="8" t="s">
        <v>189</v>
      </c>
      <c r="B94" s="4" t="s">
        <v>102</v>
      </c>
      <c r="C94" s="4">
        <v>0.416443404044893</v>
      </c>
      <c r="D94" s="5">
        <f t="shared" si="5"/>
        <v>0.75832301539103086</v>
      </c>
      <c r="E94" s="5">
        <v>0.36363636363636298</v>
      </c>
      <c r="F94" s="5">
        <f t="shared" si="6"/>
        <v>0.67247820672478187</v>
      </c>
      <c r="G94" s="5">
        <f t="shared" si="7"/>
        <v>0.32752179327521813</v>
      </c>
      <c r="H94" s="5">
        <f t="shared" si="8"/>
        <v>0.34557907845579056</v>
      </c>
      <c r="I94" s="5">
        <f t="shared" si="9"/>
        <v>0.32752179327521808</v>
      </c>
      <c r="J94" s="5">
        <v>0.97222222222222199</v>
      </c>
    </row>
    <row r="95" spans="1:10" ht="14.4" x14ac:dyDescent="0.25">
      <c r="A95" s="8" t="s">
        <v>176</v>
      </c>
      <c r="B95" s="4" t="s">
        <v>103</v>
      </c>
      <c r="C95" s="4">
        <v>0.26607892776904701</v>
      </c>
      <c r="D95" s="5">
        <f t="shared" si="5"/>
        <v>0.41260177549444971</v>
      </c>
      <c r="E95" s="5">
        <v>0.37089201877934203</v>
      </c>
      <c r="F95" s="5">
        <f t="shared" si="6"/>
        <v>0.68589619911248279</v>
      </c>
      <c r="G95" s="5">
        <f t="shared" si="7"/>
        <v>0.31410380088751721</v>
      </c>
      <c r="H95" s="5">
        <f t="shared" si="8"/>
        <v>0.34249790983342965</v>
      </c>
      <c r="I95" s="5">
        <f t="shared" si="9"/>
        <v>0.31410380088751738</v>
      </c>
      <c r="J95" s="5">
        <v>0.66666666666666596</v>
      </c>
    </row>
    <row r="98" spans="3:9" x14ac:dyDescent="0.25">
      <c r="C98" s="4" t="s">
        <v>8</v>
      </c>
      <c r="E98" s="4" t="s">
        <v>8</v>
      </c>
      <c r="H98" s="4" t="s">
        <v>8</v>
      </c>
      <c r="I98" s="4" t="s">
        <v>8</v>
      </c>
    </row>
    <row r="99" spans="3:9" x14ac:dyDescent="0.25">
      <c r="C99" s="3">
        <f>MIN(C2:C95)</f>
        <v>8.6626112254252693E-2</v>
      </c>
      <c r="D99" s="3"/>
      <c r="E99" s="3">
        <f>MIN(E2:E95)</f>
        <v>0</v>
      </c>
      <c r="H99" s="3">
        <f>MIN(H2:H95)</f>
        <v>0.27037037037036998</v>
      </c>
      <c r="I99" s="3">
        <f>MIN(I2:I95)</f>
        <v>0</v>
      </c>
    </row>
    <row r="100" spans="3:9" x14ac:dyDescent="0.25">
      <c r="C100" s="4" t="s">
        <v>9</v>
      </c>
      <c r="E100" s="4" t="s">
        <v>9</v>
      </c>
      <c r="H100" s="4" t="s">
        <v>9</v>
      </c>
      <c r="I100" s="4" t="s">
        <v>9</v>
      </c>
    </row>
    <row r="101" spans="3:9" x14ac:dyDescent="0.25">
      <c r="C101" s="3">
        <f>MAX(C2:C95)</f>
        <v>0.52155593120557298</v>
      </c>
      <c r="D101" s="3"/>
      <c r="E101" s="3">
        <f>MAX(E2:E95)</f>
        <v>0.54074074074073997</v>
      </c>
      <c r="F101" s="3"/>
      <c r="G101" s="3"/>
      <c r="H101" s="3">
        <f>MAX(H2:H95)</f>
        <v>0.5</v>
      </c>
      <c r="I101" s="3">
        <f>MAX(I2:I95)</f>
        <v>1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11A5-4405-44F4-A663-DD355F23DB9D}">
  <dimension ref="A1:J101"/>
  <sheetViews>
    <sheetView workbookViewId="0">
      <selection sqref="A1:XFD1"/>
    </sheetView>
  </sheetViews>
  <sheetFormatPr defaultRowHeight="13.8" x14ac:dyDescent="0.25"/>
  <cols>
    <col min="1" max="1" width="36.5546875" style="4" customWidth="1"/>
    <col min="2" max="16384" width="8.88671875" style="4"/>
  </cols>
  <sheetData>
    <row r="1" spans="1:10" x14ac:dyDescent="0.25">
      <c r="C1" s="10" t="s">
        <v>190</v>
      </c>
      <c r="D1" s="10" t="s">
        <v>191</v>
      </c>
      <c r="E1" s="10" t="s">
        <v>192</v>
      </c>
      <c r="F1" s="10" t="s">
        <v>193</v>
      </c>
      <c r="G1" s="10" t="s">
        <v>194</v>
      </c>
      <c r="H1" s="4" t="s">
        <v>195</v>
      </c>
      <c r="I1" s="4" t="s">
        <v>196</v>
      </c>
      <c r="J1" s="10" t="s">
        <v>197</v>
      </c>
    </row>
    <row r="2" spans="1:10" x14ac:dyDescent="0.25">
      <c r="A2" s="8" t="s">
        <v>0</v>
      </c>
      <c r="B2" s="4" t="s">
        <v>7</v>
      </c>
      <c r="C2" s="4">
        <v>0.46799504885646798</v>
      </c>
      <c r="D2" s="5">
        <f>(C2-$C$99)/($C$101-$C$99)</f>
        <v>0.89176370171782815</v>
      </c>
      <c r="E2" s="5">
        <v>0.27087872185911399</v>
      </c>
      <c r="F2" s="5">
        <f>(E2-$E$99)/($E$101-$E$99)</f>
        <v>0.48515767603176679</v>
      </c>
      <c r="G2" s="5">
        <f>1-F2</f>
        <v>0.51484232396823315</v>
      </c>
      <c r="H2" s="5">
        <f>(E2+G2)/2</f>
        <v>0.39286052291367357</v>
      </c>
      <c r="I2" s="5">
        <f>(H2-$H$99)/($H$101-$H$99)</f>
        <v>0.51484232396823304</v>
      </c>
      <c r="J2" s="5">
        <v>0.95833333333333304</v>
      </c>
    </row>
    <row r="3" spans="1:10" ht="14.4" x14ac:dyDescent="0.25">
      <c r="A3" s="8" t="s">
        <v>177</v>
      </c>
      <c r="B3" s="4" t="s">
        <v>11</v>
      </c>
      <c r="C3" s="4">
        <v>0.34750275739712699</v>
      </c>
      <c r="D3" s="5">
        <f t="shared" ref="D3:D66" si="0">(C3-$C$99)/($C$101-$C$99)</f>
        <v>0.60728300735134011</v>
      </c>
      <c r="E3" s="5">
        <v>0.38167611606079299</v>
      </c>
      <c r="F3" s="5">
        <f t="shared" ref="F3:F66" si="1">(E3-$E$99)/($E$101-$E$99)</f>
        <v>0.68360148849637259</v>
      </c>
      <c r="G3" s="5">
        <f t="shared" ref="G3:G66" si="2">1-F3</f>
        <v>0.31639851150362741</v>
      </c>
      <c r="H3" s="5">
        <f t="shared" ref="H3:H66" si="3">(E3+G3)/2</f>
        <v>0.3490373137822102</v>
      </c>
      <c r="I3" s="5">
        <f t="shared" ref="I3:I66" si="4">(H3-$H$99)/($H$101-$H$99)</f>
        <v>0.31639851150362747</v>
      </c>
      <c r="J3" s="5">
        <v>0.90909090909090895</v>
      </c>
    </row>
    <row r="4" spans="1:10" ht="14.4" x14ac:dyDescent="0.25">
      <c r="A4" s="8" t="s">
        <v>104</v>
      </c>
      <c r="B4" s="4" t="s">
        <v>12</v>
      </c>
      <c r="C4" s="4">
        <v>0.34741661585285999</v>
      </c>
      <c r="D4" s="5">
        <f t="shared" si="0"/>
        <v>0.60707962831331141</v>
      </c>
      <c r="E4" s="5">
        <v>0.38247643446292601</v>
      </c>
      <c r="F4" s="5">
        <f t="shared" si="1"/>
        <v>0.68503489977873333</v>
      </c>
      <c r="G4" s="5">
        <f t="shared" si="2"/>
        <v>0.31496510022126667</v>
      </c>
      <c r="H4" s="5">
        <f t="shared" si="3"/>
        <v>0.34872076734209634</v>
      </c>
      <c r="I4" s="5">
        <f t="shared" si="4"/>
        <v>0.31496510022126673</v>
      </c>
      <c r="J4" s="5">
        <v>0.95652173913043403</v>
      </c>
    </row>
    <row r="5" spans="1:10" ht="14.4" x14ac:dyDescent="0.25">
      <c r="A5" s="8" t="s">
        <v>105</v>
      </c>
      <c r="B5" s="4" t="s">
        <v>13</v>
      </c>
      <c r="C5" s="4">
        <v>0.32655727880833102</v>
      </c>
      <c r="D5" s="5">
        <f t="shared" si="0"/>
        <v>0.55783101153806636</v>
      </c>
      <c r="E5" s="5">
        <v>0.29468760441029002</v>
      </c>
      <c r="F5" s="5">
        <f t="shared" si="1"/>
        <v>0.5278006051188644</v>
      </c>
      <c r="G5" s="5">
        <f t="shared" si="2"/>
        <v>0.4721993948811356</v>
      </c>
      <c r="H5" s="5">
        <f t="shared" si="3"/>
        <v>0.38344349964571278</v>
      </c>
      <c r="I5" s="5">
        <f t="shared" si="4"/>
        <v>0.47219939488113555</v>
      </c>
      <c r="J5" s="5">
        <v>0.83333333333333304</v>
      </c>
    </row>
    <row r="6" spans="1:10" ht="14.4" x14ac:dyDescent="0.25">
      <c r="A6" s="8" t="s">
        <v>106</v>
      </c>
      <c r="B6" s="4" t="s">
        <v>14</v>
      </c>
      <c r="C6" s="4">
        <v>0.343155957671752</v>
      </c>
      <c r="D6" s="5">
        <f t="shared" si="0"/>
        <v>0.59702027112838418</v>
      </c>
      <c r="E6" s="5">
        <v>0.28725165562913901</v>
      </c>
      <c r="F6" s="5">
        <f t="shared" si="1"/>
        <v>0.51448243968676821</v>
      </c>
      <c r="G6" s="5">
        <f t="shared" si="2"/>
        <v>0.48551756031323179</v>
      </c>
      <c r="H6" s="5">
        <f t="shared" si="3"/>
        <v>0.3863846079711854</v>
      </c>
      <c r="I6" s="5">
        <f t="shared" si="4"/>
        <v>0.48551756031323173</v>
      </c>
      <c r="J6" s="5">
        <v>0.7</v>
      </c>
    </row>
    <row r="7" spans="1:10" ht="14.4" x14ac:dyDescent="0.25">
      <c r="A7" s="8" t="s">
        <v>107</v>
      </c>
      <c r="B7" s="4" t="s">
        <v>15</v>
      </c>
      <c r="C7" s="4">
        <v>0.38888230780947097</v>
      </c>
      <c r="D7" s="5">
        <f t="shared" si="0"/>
        <v>0.70497957442052028</v>
      </c>
      <c r="E7" s="5">
        <v>0.33315616972273898</v>
      </c>
      <c r="F7" s="5">
        <f t="shared" si="1"/>
        <v>0.59669977748342873</v>
      </c>
      <c r="G7" s="5">
        <f t="shared" si="2"/>
        <v>0.40330022251657127</v>
      </c>
      <c r="H7" s="5">
        <f t="shared" si="3"/>
        <v>0.36822819611965513</v>
      </c>
      <c r="I7" s="5">
        <f t="shared" si="4"/>
        <v>0.40330022251657133</v>
      </c>
      <c r="J7" s="5">
        <v>0.79411764705882304</v>
      </c>
    </row>
    <row r="8" spans="1:10" ht="14.4" x14ac:dyDescent="0.25">
      <c r="A8" s="8" t="s">
        <v>108</v>
      </c>
      <c r="B8" s="4" t="s">
        <v>16</v>
      </c>
      <c r="C8" s="4">
        <v>0.37280564001862698</v>
      </c>
      <c r="D8" s="5">
        <f t="shared" si="0"/>
        <v>0.66702277601585269</v>
      </c>
      <c r="E8" s="5">
        <v>0.27014662822321001</v>
      </c>
      <c r="F8" s="5">
        <f t="shared" si="1"/>
        <v>0.48384645880290833</v>
      </c>
      <c r="G8" s="5">
        <f t="shared" si="2"/>
        <v>0.51615354119709167</v>
      </c>
      <c r="H8" s="5">
        <f t="shared" si="3"/>
        <v>0.39315008471015084</v>
      </c>
      <c r="I8" s="5">
        <f t="shared" si="4"/>
        <v>0.51615354119709167</v>
      </c>
      <c r="J8" s="5">
        <v>0.77777777777777701</v>
      </c>
    </row>
    <row r="9" spans="1:10" ht="14.4" x14ac:dyDescent="0.25">
      <c r="A9" s="8" t="s">
        <v>109</v>
      </c>
      <c r="B9" s="4" t="s">
        <v>17</v>
      </c>
      <c r="C9" s="4">
        <v>0.31492298877813102</v>
      </c>
      <c r="D9" s="5">
        <f t="shared" si="0"/>
        <v>0.53036260782388156</v>
      </c>
      <c r="E9" s="5">
        <v>0.35782012335450603</v>
      </c>
      <c r="F9" s="5">
        <f t="shared" si="1"/>
        <v>0.64087418270661534</v>
      </c>
      <c r="G9" s="5">
        <f t="shared" si="2"/>
        <v>0.35912581729338466</v>
      </c>
      <c r="H9" s="5">
        <f t="shared" si="3"/>
        <v>0.35847297032394532</v>
      </c>
      <c r="I9" s="5">
        <f t="shared" si="4"/>
        <v>0.35912581729338461</v>
      </c>
      <c r="J9" s="5">
        <v>0.9375</v>
      </c>
    </row>
    <row r="10" spans="1:10" ht="14.4" x14ac:dyDescent="0.25">
      <c r="A10" s="8" t="s">
        <v>110</v>
      </c>
      <c r="B10" s="4" t="s">
        <v>18</v>
      </c>
      <c r="C10" s="4">
        <v>0.225868342773165</v>
      </c>
      <c r="D10" s="5">
        <f t="shared" si="0"/>
        <v>0.32010577541395641</v>
      </c>
      <c r="E10" s="5">
        <v>0.53928127405126902</v>
      </c>
      <c r="F10" s="5">
        <f t="shared" si="1"/>
        <v>0.96588040526211227</v>
      </c>
      <c r="G10" s="5">
        <f t="shared" si="2"/>
        <v>3.4119594737887726E-2</v>
      </c>
      <c r="H10" s="5">
        <f t="shared" si="3"/>
        <v>0.28670043439457837</v>
      </c>
      <c r="I10" s="5">
        <f t="shared" si="4"/>
        <v>3.4119594737887775E-2</v>
      </c>
      <c r="J10" s="5">
        <v>0.66666666666666596</v>
      </c>
    </row>
    <row r="11" spans="1:10" ht="14.4" x14ac:dyDescent="0.25">
      <c r="A11" s="8" t="s">
        <v>178</v>
      </c>
      <c r="B11" s="4" t="s">
        <v>19</v>
      </c>
      <c r="C11" s="4">
        <v>0.43242679552396901</v>
      </c>
      <c r="D11" s="5">
        <f t="shared" si="0"/>
        <v>0.80778752960853728</v>
      </c>
      <c r="E11" s="5">
        <v>0.32150930272995998</v>
      </c>
      <c r="F11" s="5">
        <f t="shared" si="1"/>
        <v>0.57583964168359048</v>
      </c>
      <c r="G11" s="5">
        <f t="shared" si="2"/>
        <v>0.42416035831640952</v>
      </c>
      <c r="H11" s="5">
        <f t="shared" si="3"/>
        <v>0.37283483052318478</v>
      </c>
      <c r="I11" s="5">
        <f t="shared" si="4"/>
        <v>0.42416035831640964</v>
      </c>
      <c r="J11" s="5">
        <v>0.91964285714285698</v>
      </c>
    </row>
    <row r="12" spans="1:10" ht="14.4" x14ac:dyDescent="0.25">
      <c r="A12" s="8" t="s">
        <v>179</v>
      </c>
      <c r="B12" s="4" t="s">
        <v>20</v>
      </c>
      <c r="C12" s="4">
        <v>0.38824570011518</v>
      </c>
      <c r="D12" s="5">
        <f t="shared" si="0"/>
        <v>0.70347655213820226</v>
      </c>
      <c r="E12" s="5">
        <v>0.445569356017117</v>
      </c>
      <c r="F12" s="5">
        <f t="shared" si="1"/>
        <v>0.79803755641119622</v>
      </c>
      <c r="G12" s="5">
        <f t="shared" si="2"/>
        <v>0.20196244358880378</v>
      </c>
      <c r="H12" s="5">
        <f t="shared" si="3"/>
        <v>0.32376589980296039</v>
      </c>
      <c r="I12" s="5">
        <f t="shared" si="4"/>
        <v>0.20196244358880378</v>
      </c>
      <c r="J12" s="5">
        <v>0.9</v>
      </c>
    </row>
    <row r="13" spans="1:10" ht="14.4" x14ac:dyDescent="0.25">
      <c r="A13" s="8" t="s">
        <v>111</v>
      </c>
      <c r="B13" s="4" t="s">
        <v>21</v>
      </c>
      <c r="C13" s="4">
        <v>0.24035625324222101</v>
      </c>
      <c r="D13" s="5">
        <f t="shared" si="0"/>
        <v>0.35431153895483269</v>
      </c>
      <c r="E13" s="5">
        <v>0.33815067576609098</v>
      </c>
      <c r="F13" s="5">
        <f t="shared" si="1"/>
        <v>0.6056451938243238</v>
      </c>
      <c r="G13" s="5">
        <f t="shared" si="2"/>
        <v>0.3943548061756762</v>
      </c>
      <c r="H13" s="5">
        <f t="shared" si="3"/>
        <v>0.36625274097088356</v>
      </c>
      <c r="I13" s="5">
        <f t="shared" si="4"/>
        <v>0.39435480617567603</v>
      </c>
      <c r="J13" s="5">
        <v>0.8</v>
      </c>
    </row>
    <row r="14" spans="1:10" ht="14.4" x14ac:dyDescent="0.25">
      <c r="A14" s="8" t="s">
        <v>112</v>
      </c>
      <c r="B14" s="4" t="s">
        <v>22</v>
      </c>
      <c r="C14" s="4">
        <v>0.34716571791310202</v>
      </c>
      <c r="D14" s="5">
        <f t="shared" si="0"/>
        <v>0.6064872616211936</v>
      </c>
      <c r="E14" s="5">
        <v>0.29679368809803502</v>
      </c>
      <c r="F14" s="5">
        <f t="shared" si="1"/>
        <v>0.53157270896098985</v>
      </c>
      <c r="G14" s="5">
        <f t="shared" si="2"/>
        <v>0.46842729103901015</v>
      </c>
      <c r="H14" s="5">
        <f t="shared" si="3"/>
        <v>0.38261048956852262</v>
      </c>
      <c r="I14" s="5">
        <f t="shared" si="4"/>
        <v>0.46842729103901026</v>
      </c>
      <c r="J14" s="5">
        <v>0.66666666666666596</v>
      </c>
    </row>
    <row r="15" spans="1:10" ht="14.4" x14ac:dyDescent="0.25">
      <c r="A15" s="8" t="s">
        <v>113</v>
      </c>
      <c r="B15" s="4" t="s">
        <v>23</v>
      </c>
      <c r="C15" s="4">
        <v>0.368663160553726</v>
      </c>
      <c r="D15" s="5">
        <f t="shared" si="0"/>
        <v>0.65724243720495368</v>
      </c>
      <c r="E15" s="5">
        <v>0.30139012126589698</v>
      </c>
      <c r="F15" s="5">
        <f t="shared" si="1"/>
        <v>0.53980515637675652</v>
      </c>
      <c r="G15" s="5">
        <f t="shared" si="2"/>
        <v>0.46019484362324348</v>
      </c>
      <c r="H15" s="5">
        <f t="shared" si="3"/>
        <v>0.3807924824445702</v>
      </c>
      <c r="I15" s="5">
        <f t="shared" si="4"/>
        <v>0.46019484362324331</v>
      </c>
      <c r="J15" s="5">
        <v>0.85714285714285698</v>
      </c>
    </row>
    <row r="16" spans="1:10" ht="14.4" x14ac:dyDescent="0.25">
      <c r="A16" s="8" t="s">
        <v>114</v>
      </c>
      <c r="B16" s="4" t="s">
        <v>24</v>
      </c>
      <c r="C16" s="4">
        <v>0.32768389901266798</v>
      </c>
      <c r="D16" s="5">
        <f t="shared" si="0"/>
        <v>0.56049094682633538</v>
      </c>
      <c r="E16" s="5">
        <v>0.35607244644663</v>
      </c>
      <c r="F16" s="5">
        <f t="shared" si="1"/>
        <v>0.63774400377908591</v>
      </c>
      <c r="G16" s="5">
        <f t="shared" si="2"/>
        <v>0.36225599622091409</v>
      </c>
      <c r="H16" s="5">
        <f t="shared" si="3"/>
        <v>0.35916422133377202</v>
      </c>
      <c r="I16" s="5">
        <f t="shared" si="4"/>
        <v>0.36225599622091392</v>
      </c>
      <c r="J16" s="5">
        <v>0.965853658536585</v>
      </c>
    </row>
    <row r="17" spans="1:10" ht="14.4" x14ac:dyDescent="0.25">
      <c r="A17" s="8" t="s">
        <v>115</v>
      </c>
      <c r="B17" s="4" t="s">
        <v>25</v>
      </c>
      <c r="C17" s="4">
        <v>0.34218092301311198</v>
      </c>
      <c r="D17" s="5">
        <f t="shared" si="0"/>
        <v>0.5947182272933651</v>
      </c>
      <c r="E17" s="5">
        <v>0.31386232445937701</v>
      </c>
      <c r="F17" s="5">
        <f t="shared" si="1"/>
        <v>0.56214351161859755</v>
      </c>
      <c r="G17" s="5">
        <f t="shared" si="2"/>
        <v>0.43785648838140245</v>
      </c>
      <c r="H17" s="5">
        <f t="shared" si="3"/>
        <v>0.37585940642038973</v>
      </c>
      <c r="I17" s="5">
        <f t="shared" si="4"/>
        <v>0.43785648838140251</v>
      </c>
      <c r="J17" s="5">
        <v>0.88888888888888795</v>
      </c>
    </row>
    <row r="18" spans="1:10" ht="14.4" x14ac:dyDescent="0.25">
      <c r="A18" s="8" t="s">
        <v>116</v>
      </c>
      <c r="B18" s="4" t="s">
        <v>26</v>
      </c>
      <c r="C18" s="4">
        <v>0.34089696914853401</v>
      </c>
      <c r="D18" s="5">
        <f t="shared" si="0"/>
        <v>0.59168682933001127</v>
      </c>
      <c r="E18" s="5">
        <v>0.37653736991485298</v>
      </c>
      <c r="F18" s="5">
        <f t="shared" si="1"/>
        <v>0.67439773073802745</v>
      </c>
      <c r="G18" s="5">
        <f t="shared" si="2"/>
        <v>0.32560226926197255</v>
      </c>
      <c r="H18" s="5">
        <f t="shared" si="3"/>
        <v>0.35106981958841277</v>
      </c>
      <c r="I18" s="5">
        <f t="shared" si="4"/>
        <v>0.3256022692619725</v>
      </c>
      <c r="J18" s="5">
        <v>0.92857142857142805</v>
      </c>
    </row>
    <row r="19" spans="1:10" ht="14.4" x14ac:dyDescent="0.25">
      <c r="A19" s="8" t="s">
        <v>117</v>
      </c>
      <c r="B19" s="4" t="s">
        <v>27</v>
      </c>
      <c r="C19" s="4">
        <v>0.417679180476001</v>
      </c>
      <c r="D19" s="5">
        <f t="shared" si="0"/>
        <v>0.77296860701786418</v>
      </c>
      <c r="E19" s="5">
        <v>0.35768555662921803</v>
      </c>
      <c r="F19" s="5">
        <f t="shared" si="1"/>
        <v>0.64063316680376459</v>
      </c>
      <c r="G19" s="5">
        <f t="shared" si="2"/>
        <v>0.35936683319623541</v>
      </c>
      <c r="H19" s="5">
        <f t="shared" si="3"/>
        <v>0.35852619491272675</v>
      </c>
      <c r="I19" s="5">
        <f t="shared" si="4"/>
        <v>0.35936683319623558</v>
      </c>
      <c r="J19" s="5">
        <v>0.66666666666666596</v>
      </c>
    </row>
    <row r="20" spans="1:10" ht="14.4" x14ac:dyDescent="0.25">
      <c r="A20" s="8" t="s">
        <v>118</v>
      </c>
      <c r="B20" s="4" t="s">
        <v>28</v>
      </c>
      <c r="C20" s="4">
        <v>0.34287230663617302</v>
      </c>
      <c r="D20" s="5">
        <f t="shared" si="0"/>
        <v>0.59635057481352483</v>
      </c>
      <c r="E20" s="5">
        <v>0.30139012126589698</v>
      </c>
      <c r="F20" s="5">
        <f t="shared" si="1"/>
        <v>0.53980515637675652</v>
      </c>
      <c r="G20" s="5">
        <f t="shared" si="2"/>
        <v>0.46019484362324348</v>
      </c>
      <c r="H20" s="5">
        <f t="shared" si="3"/>
        <v>0.3807924824445702</v>
      </c>
      <c r="I20" s="5">
        <f t="shared" si="4"/>
        <v>0.46019484362324331</v>
      </c>
      <c r="J20" s="5">
        <v>0.66666666666666596</v>
      </c>
    </row>
    <row r="21" spans="1:10" ht="14.4" x14ac:dyDescent="0.25">
      <c r="A21" s="8" t="s">
        <v>119</v>
      </c>
      <c r="B21" s="4" t="s">
        <v>29</v>
      </c>
      <c r="C21" s="4">
        <v>0.35751760660927501</v>
      </c>
      <c r="D21" s="5">
        <f t="shared" si="0"/>
        <v>0.63092793287596527</v>
      </c>
      <c r="E21" s="5">
        <v>0.41556622649059599</v>
      </c>
      <c r="F21" s="5">
        <f t="shared" si="1"/>
        <v>0.74430041347555498</v>
      </c>
      <c r="G21" s="5">
        <f t="shared" si="2"/>
        <v>0.25569958652444502</v>
      </c>
      <c r="H21" s="5">
        <f t="shared" si="3"/>
        <v>0.33563290650752053</v>
      </c>
      <c r="I21" s="5">
        <f t="shared" si="4"/>
        <v>0.25569958652444513</v>
      </c>
      <c r="J21" s="5">
        <v>0.90133897110641203</v>
      </c>
    </row>
    <row r="22" spans="1:10" ht="14.4" x14ac:dyDescent="0.25">
      <c r="A22" s="8" t="s">
        <v>120</v>
      </c>
      <c r="B22" s="4" t="s">
        <v>30</v>
      </c>
      <c r="C22" s="4">
        <v>0.34308199002894002</v>
      </c>
      <c r="D22" s="5">
        <f t="shared" si="0"/>
        <v>0.59684563450945238</v>
      </c>
      <c r="E22" s="5">
        <v>0.35148132194929099</v>
      </c>
      <c r="F22" s="5">
        <f t="shared" si="1"/>
        <v>0.62952106446434708</v>
      </c>
      <c r="G22" s="5">
        <f t="shared" si="2"/>
        <v>0.37047893553565292</v>
      </c>
      <c r="H22" s="5">
        <f t="shared" si="3"/>
        <v>0.36098012874247198</v>
      </c>
      <c r="I22" s="5">
        <f t="shared" si="4"/>
        <v>0.37047893553565303</v>
      </c>
      <c r="J22" s="5">
        <v>0.95108695652173902</v>
      </c>
    </row>
    <row r="23" spans="1:10" ht="14.4" x14ac:dyDescent="0.25">
      <c r="A23" s="8" t="s">
        <v>121</v>
      </c>
      <c r="B23" s="4" t="s">
        <v>31</v>
      </c>
      <c r="C23" s="4">
        <v>0.342602267395684</v>
      </c>
      <c r="D23" s="5">
        <f t="shared" si="0"/>
        <v>0.59571301576547209</v>
      </c>
      <c r="E23" s="5">
        <v>0.29295962629295902</v>
      </c>
      <c r="F23" s="5">
        <f t="shared" si="1"/>
        <v>0.52470570773495662</v>
      </c>
      <c r="G23" s="5">
        <f t="shared" si="2"/>
        <v>0.47529429226504338</v>
      </c>
      <c r="H23" s="5">
        <f t="shared" si="3"/>
        <v>0.3841269592790012</v>
      </c>
      <c r="I23" s="5">
        <f t="shared" si="4"/>
        <v>0.47529429226504344</v>
      </c>
      <c r="J23" s="5">
        <v>0.9375</v>
      </c>
    </row>
    <row r="24" spans="1:10" ht="14.4" x14ac:dyDescent="0.25">
      <c r="A24" s="8" t="s">
        <v>122</v>
      </c>
      <c r="B24" s="4" t="s">
        <v>32</v>
      </c>
      <c r="C24" s="4">
        <v>0.27712453649111002</v>
      </c>
      <c r="D24" s="5">
        <f t="shared" si="0"/>
        <v>0.44112096570423792</v>
      </c>
      <c r="E24" s="5">
        <v>0.40196078431372501</v>
      </c>
      <c r="F24" s="5">
        <f t="shared" si="1"/>
        <v>0.71993236912488634</v>
      </c>
      <c r="G24" s="5">
        <f t="shared" si="2"/>
        <v>0.28006763087511366</v>
      </c>
      <c r="H24" s="5">
        <f t="shared" si="3"/>
        <v>0.34101420759441936</v>
      </c>
      <c r="I24" s="5">
        <f t="shared" si="4"/>
        <v>0.28006763087511383</v>
      </c>
      <c r="J24" s="5">
        <v>0.66666666666666596</v>
      </c>
    </row>
    <row r="25" spans="1:10" ht="14.4" x14ac:dyDescent="0.25">
      <c r="A25" s="8" t="s">
        <v>123</v>
      </c>
      <c r="B25" s="4" t="s">
        <v>33</v>
      </c>
      <c r="C25" s="4">
        <v>0.33120667159677802</v>
      </c>
      <c r="D25" s="5">
        <f t="shared" si="0"/>
        <v>0.56880816595035733</v>
      </c>
      <c r="E25" s="5">
        <v>0.33210690275907601</v>
      </c>
      <c r="F25" s="5">
        <f t="shared" si="1"/>
        <v>0.59482048656632081</v>
      </c>
      <c r="G25" s="5">
        <f t="shared" si="2"/>
        <v>0.40517951343367919</v>
      </c>
      <c r="H25" s="5">
        <f t="shared" si="3"/>
        <v>0.36864320809637763</v>
      </c>
      <c r="I25" s="5">
        <f t="shared" si="4"/>
        <v>0.40517951343367936</v>
      </c>
      <c r="J25" s="5">
        <v>0.89705882352941102</v>
      </c>
    </row>
    <row r="26" spans="1:10" ht="14.4" x14ac:dyDescent="0.25">
      <c r="A26" s="8" t="s">
        <v>124</v>
      </c>
      <c r="B26" s="4" t="s">
        <v>34</v>
      </c>
      <c r="C26" s="4">
        <v>0.33915387002541703</v>
      </c>
      <c r="D26" s="5">
        <f t="shared" si="0"/>
        <v>0.58757139553015481</v>
      </c>
      <c r="E26" s="5">
        <v>0.33428215619996399</v>
      </c>
      <c r="F26" s="5">
        <f t="shared" si="1"/>
        <v>0.59871647698195118</v>
      </c>
      <c r="G26" s="5">
        <f t="shared" si="2"/>
        <v>0.40128352301804882</v>
      </c>
      <c r="H26" s="5">
        <f t="shared" si="3"/>
        <v>0.36778283960900637</v>
      </c>
      <c r="I26" s="5">
        <f t="shared" si="4"/>
        <v>0.40128352301804876</v>
      </c>
      <c r="J26" s="5">
        <v>0.8</v>
      </c>
    </row>
    <row r="27" spans="1:10" ht="14.4" x14ac:dyDescent="0.25">
      <c r="A27" s="8" t="s">
        <v>1</v>
      </c>
      <c r="B27" s="4" t="s">
        <v>35</v>
      </c>
      <c r="C27" s="4">
        <v>0.15868075068478699</v>
      </c>
      <c r="D27" s="5">
        <f t="shared" si="0"/>
        <v>0.16147676588463028</v>
      </c>
      <c r="E27" s="5">
        <v>9.8901098901098897E-2</v>
      </c>
      <c r="F27" s="5">
        <f t="shared" si="1"/>
        <v>0.17713693777985701</v>
      </c>
      <c r="G27" s="5">
        <f t="shared" si="2"/>
        <v>0.82286306222014294</v>
      </c>
      <c r="H27" s="5">
        <f t="shared" si="3"/>
        <v>0.46088208056062091</v>
      </c>
      <c r="I27" s="5">
        <f t="shared" si="4"/>
        <v>0.82286306222014283</v>
      </c>
      <c r="J27" s="5">
        <v>0.84848484848484795</v>
      </c>
    </row>
    <row r="28" spans="1:10" ht="14.4" x14ac:dyDescent="0.25">
      <c r="A28" s="8" t="s">
        <v>125</v>
      </c>
      <c r="B28" s="4" t="s">
        <v>36</v>
      </c>
      <c r="C28" s="4">
        <v>0.34850279497057202</v>
      </c>
      <c r="D28" s="5">
        <f t="shared" si="0"/>
        <v>0.60964408273500659</v>
      </c>
      <c r="E28" s="5">
        <v>0.287784679089026</v>
      </c>
      <c r="F28" s="5">
        <f t="shared" si="1"/>
        <v>0.51543711202608788</v>
      </c>
      <c r="G28" s="5">
        <f t="shared" si="2"/>
        <v>0.48456288797391212</v>
      </c>
      <c r="H28" s="5">
        <f t="shared" si="3"/>
        <v>0.38617378353146903</v>
      </c>
      <c r="I28" s="5">
        <f t="shared" si="4"/>
        <v>0.484562887973912</v>
      </c>
      <c r="J28" s="5">
        <v>0.75</v>
      </c>
    </row>
    <row r="29" spans="1:10" ht="14.4" x14ac:dyDescent="0.25">
      <c r="A29" s="8" t="s">
        <v>126</v>
      </c>
      <c r="B29" s="4" t="s">
        <v>37</v>
      </c>
      <c r="C29" s="4">
        <v>0.31126872923537902</v>
      </c>
      <c r="D29" s="5">
        <f t="shared" si="0"/>
        <v>0.52173494974279799</v>
      </c>
      <c r="E29" s="5">
        <v>0.302215457466599</v>
      </c>
      <c r="F29" s="5">
        <f t="shared" si="1"/>
        <v>0.54128337581876107</v>
      </c>
      <c r="G29" s="5">
        <f t="shared" si="2"/>
        <v>0.45871662418123893</v>
      </c>
      <c r="H29" s="5">
        <f t="shared" si="3"/>
        <v>0.38046604082391899</v>
      </c>
      <c r="I29" s="5">
        <f t="shared" si="4"/>
        <v>0.45871662418123899</v>
      </c>
      <c r="J29" s="5">
        <v>0.8</v>
      </c>
    </row>
    <row r="30" spans="1:10" ht="14.4" x14ac:dyDescent="0.25">
      <c r="A30" s="8" t="s">
        <v>180</v>
      </c>
      <c r="B30" s="4" t="s">
        <v>38</v>
      </c>
      <c r="C30" s="4">
        <v>0.32879914355230699</v>
      </c>
      <c r="D30" s="5">
        <f t="shared" si="0"/>
        <v>0.56312402432185305</v>
      </c>
      <c r="E30" s="5">
        <v>0.30604951927167501</v>
      </c>
      <c r="F30" s="5">
        <f t="shared" si="1"/>
        <v>0.54815037704479419</v>
      </c>
      <c r="G30" s="5">
        <f t="shared" si="2"/>
        <v>0.45184962295520581</v>
      </c>
      <c r="H30" s="5">
        <f t="shared" si="3"/>
        <v>0.37894957111344041</v>
      </c>
      <c r="I30" s="5">
        <f t="shared" si="4"/>
        <v>0.45184962295520581</v>
      </c>
      <c r="J30" s="5">
        <v>0.97872340425531901</v>
      </c>
    </row>
    <row r="31" spans="1:10" ht="14.4" x14ac:dyDescent="0.25">
      <c r="A31" s="8" t="s">
        <v>127</v>
      </c>
      <c r="B31" s="4" t="s">
        <v>39</v>
      </c>
      <c r="C31" s="4">
        <v>0.33353516593867599</v>
      </c>
      <c r="D31" s="5">
        <f t="shared" si="0"/>
        <v>0.57430571006034792</v>
      </c>
      <c r="E31" s="5">
        <v>0.35233918128654901</v>
      </c>
      <c r="F31" s="5">
        <f t="shared" si="1"/>
        <v>0.63105753451105207</v>
      </c>
      <c r="G31" s="5">
        <f t="shared" si="2"/>
        <v>0.36894246548894793</v>
      </c>
      <c r="H31" s="5">
        <f t="shared" si="3"/>
        <v>0.3606408233877485</v>
      </c>
      <c r="I31" s="5">
        <f t="shared" si="4"/>
        <v>0.36894246548894805</v>
      </c>
      <c r="J31" s="5">
        <v>0.99137931034482696</v>
      </c>
    </row>
    <row r="32" spans="1:10" ht="14.4" x14ac:dyDescent="0.25">
      <c r="A32" s="8" t="s">
        <v>128</v>
      </c>
      <c r="B32" s="4" t="s">
        <v>40</v>
      </c>
      <c r="C32" s="4">
        <v>0.31316814149285099</v>
      </c>
      <c r="D32" s="5">
        <f t="shared" si="0"/>
        <v>0.52621943676972271</v>
      </c>
      <c r="E32" s="5">
        <v>0.30063910005381</v>
      </c>
      <c r="F32" s="5">
        <f t="shared" si="1"/>
        <v>0.53846003888873106</v>
      </c>
      <c r="G32" s="5">
        <f t="shared" si="2"/>
        <v>0.46153996111126894</v>
      </c>
      <c r="H32" s="5">
        <f t="shared" si="3"/>
        <v>0.38108953058253947</v>
      </c>
      <c r="I32" s="5">
        <f t="shared" si="4"/>
        <v>0.46153996111126888</v>
      </c>
      <c r="J32" s="5">
        <v>0.66666666666666596</v>
      </c>
    </row>
    <row r="33" spans="1:10" ht="14.4" x14ac:dyDescent="0.25">
      <c r="A33" s="8" t="s">
        <v>129</v>
      </c>
      <c r="B33" s="4" t="s">
        <v>41</v>
      </c>
      <c r="C33" s="4">
        <v>0.31368969038237798</v>
      </c>
      <c r="D33" s="5">
        <f t="shared" si="0"/>
        <v>0.52745080674735134</v>
      </c>
      <c r="E33" s="5">
        <v>0.335470085470085</v>
      </c>
      <c r="F33" s="5">
        <f t="shared" si="1"/>
        <v>0.60084411919772407</v>
      </c>
      <c r="G33" s="5">
        <f t="shared" si="2"/>
        <v>0.39915588080227593</v>
      </c>
      <c r="H33" s="5">
        <f t="shared" si="3"/>
        <v>0.36731298313618044</v>
      </c>
      <c r="I33" s="5">
        <f t="shared" si="4"/>
        <v>0.39915588080227571</v>
      </c>
      <c r="J33" s="5">
        <v>0.8</v>
      </c>
    </row>
    <row r="34" spans="1:10" ht="14.4" x14ac:dyDescent="0.25">
      <c r="A34" s="8" t="s">
        <v>130</v>
      </c>
      <c r="B34" s="4" t="s">
        <v>42</v>
      </c>
      <c r="C34" s="4">
        <v>0.28015360439724701</v>
      </c>
      <c r="D34" s="5">
        <f t="shared" si="0"/>
        <v>0.44827255466303761</v>
      </c>
      <c r="E34" s="5">
        <v>0.48055069930069899</v>
      </c>
      <c r="F34" s="5">
        <f t="shared" si="1"/>
        <v>0.86069093536784635</v>
      </c>
      <c r="G34" s="5">
        <f t="shared" si="2"/>
        <v>0.13930906463215365</v>
      </c>
      <c r="H34" s="5">
        <f t="shared" si="3"/>
        <v>0.30992988196642635</v>
      </c>
      <c r="I34" s="5">
        <f t="shared" si="4"/>
        <v>0.13930906463215376</v>
      </c>
      <c r="J34" s="5">
        <v>0.66666666666666596</v>
      </c>
    </row>
    <row r="35" spans="1:10" ht="14.4" x14ac:dyDescent="0.25">
      <c r="A35" s="8" t="s">
        <v>131</v>
      </c>
      <c r="B35" s="4" t="s">
        <v>43</v>
      </c>
      <c r="C35" s="4">
        <v>0.39518742203882701</v>
      </c>
      <c r="D35" s="5">
        <f t="shared" si="0"/>
        <v>0.71986586508943406</v>
      </c>
      <c r="E35" s="5">
        <v>0.36363636363636298</v>
      </c>
      <c r="F35" s="5">
        <f t="shared" si="1"/>
        <v>0.65129136719058422</v>
      </c>
      <c r="G35" s="5">
        <f t="shared" si="2"/>
        <v>0.34870863280941578</v>
      </c>
      <c r="H35" s="5">
        <f t="shared" si="3"/>
        <v>0.35617249822288938</v>
      </c>
      <c r="I35" s="5">
        <f t="shared" si="4"/>
        <v>0.34870863280941572</v>
      </c>
      <c r="J35" s="5">
        <v>0.72222222222222199</v>
      </c>
    </row>
    <row r="36" spans="1:10" ht="14.4" x14ac:dyDescent="0.25">
      <c r="A36" s="8" t="s">
        <v>132</v>
      </c>
      <c r="B36" s="4" t="s">
        <v>44</v>
      </c>
      <c r="C36" s="4">
        <v>0.51383872070259495</v>
      </c>
      <c r="D36" s="5">
        <f t="shared" si="0"/>
        <v>1</v>
      </c>
      <c r="E36" s="5">
        <v>2.9100529100529099E-2</v>
      </c>
      <c r="F36" s="5">
        <f t="shared" si="1"/>
        <v>5.2120539305595785E-2</v>
      </c>
      <c r="G36" s="5">
        <f t="shared" si="2"/>
        <v>0.94787946069440421</v>
      </c>
      <c r="H36" s="5">
        <f t="shared" si="3"/>
        <v>0.48848999489746664</v>
      </c>
      <c r="I36" s="5">
        <f t="shared" si="4"/>
        <v>0.9478794606944041</v>
      </c>
      <c r="J36" s="5">
        <v>0.96488108468548495</v>
      </c>
    </row>
    <row r="37" spans="1:10" ht="14.4" x14ac:dyDescent="0.25">
      <c r="A37" s="8" t="s">
        <v>2</v>
      </c>
      <c r="B37" s="4" t="s">
        <v>45</v>
      </c>
      <c r="C37" s="4">
        <v>0.31391181150278902</v>
      </c>
      <c r="D37" s="5">
        <f t="shared" si="0"/>
        <v>0.52797523175249217</v>
      </c>
      <c r="E37" s="5">
        <v>0.381766381766381</v>
      </c>
      <c r="F37" s="5">
        <f t="shared" si="1"/>
        <v>0.6837631590020804</v>
      </c>
      <c r="G37" s="5">
        <f t="shared" si="2"/>
        <v>0.3162368409979196</v>
      </c>
      <c r="H37" s="5">
        <f t="shared" si="3"/>
        <v>0.3490016113821503</v>
      </c>
      <c r="I37" s="5">
        <f t="shared" si="4"/>
        <v>0.3162368409979196</v>
      </c>
      <c r="J37" s="5">
        <v>0.66666666666666596</v>
      </c>
    </row>
    <row r="38" spans="1:10" ht="14.4" x14ac:dyDescent="0.25">
      <c r="A38" s="8" t="s">
        <v>133</v>
      </c>
      <c r="B38" s="4" t="s">
        <v>46</v>
      </c>
      <c r="C38" s="4">
        <v>0.34769564564488498</v>
      </c>
      <c r="D38" s="5">
        <f t="shared" si="0"/>
        <v>0.60773841393372585</v>
      </c>
      <c r="E38" s="5">
        <v>0.24815304456022999</v>
      </c>
      <c r="F38" s="5">
        <f t="shared" si="1"/>
        <v>0.44445482307638073</v>
      </c>
      <c r="G38" s="5">
        <f t="shared" si="2"/>
        <v>0.55554517692361927</v>
      </c>
      <c r="H38" s="5">
        <f t="shared" si="3"/>
        <v>0.40184911074192464</v>
      </c>
      <c r="I38" s="5">
        <f t="shared" si="4"/>
        <v>0.55554517692361927</v>
      </c>
      <c r="J38" s="5">
        <v>0.94444444444444398</v>
      </c>
    </row>
    <row r="39" spans="1:10" ht="14.4" x14ac:dyDescent="0.25">
      <c r="A39" s="8" t="s">
        <v>134</v>
      </c>
      <c r="B39" s="4" t="s">
        <v>47</v>
      </c>
      <c r="C39" s="4">
        <v>0.32235387954880301</v>
      </c>
      <c r="D39" s="5">
        <f t="shared" si="0"/>
        <v>0.54790684190391503</v>
      </c>
      <c r="E39" s="5">
        <v>0</v>
      </c>
      <c r="F39" s="5">
        <f t="shared" si="1"/>
        <v>0</v>
      </c>
      <c r="G39" s="5">
        <f t="shared" si="2"/>
        <v>1</v>
      </c>
      <c r="H39" s="5">
        <f t="shared" si="3"/>
        <v>0.5</v>
      </c>
      <c r="I39" s="5">
        <f t="shared" si="4"/>
        <v>1</v>
      </c>
      <c r="J39" s="5">
        <v>0.66666666666666596</v>
      </c>
    </row>
    <row r="40" spans="1:10" ht="14.4" x14ac:dyDescent="0.25">
      <c r="A40" s="8" t="s">
        <v>135</v>
      </c>
      <c r="B40" s="4" t="s">
        <v>48</v>
      </c>
      <c r="C40" s="4">
        <v>0.36946764586997</v>
      </c>
      <c r="D40" s="5">
        <f t="shared" si="0"/>
        <v>0.659141816315442</v>
      </c>
      <c r="E40" s="5">
        <v>0.41547049441786199</v>
      </c>
      <c r="F40" s="5">
        <f t="shared" si="1"/>
        <v>0.74412895242608401</v>
      </c>
      <c r="G40" s="5">
        <f t="shared" si="2"/>
        <v>0.25587104757391599</v>
      </c>
      <c r="H40" s="5">
        <f t="shared" si="3"/>
        <v>0.33567077099588899</v>
      </c>
      <c r="I40" s="5">
        <f t="shared" si="4"/>
        <v>0.25587104757391593</v>
      </c>
      <c r="J40" s="5">
        <v>0.75531914893617003</v>
      </c>
    </row>
    <row r="41" spans="1:10" ht="14.4" x14ac:dyDescent="0.25">
      <c r="A41" s="8" t="s">
        <v>181</v>
      </c>
      <c r="B41" s="4" t="s">
        <v>49</v>
      </c>
      <c r="C41" s="4">
        <v>0.176333291932979</v>
      </c>
      <c r="D41" s="5">
        <f t="shared" si="0"/>
        <v>0.20315418052084624</v>
      </c>
      <c r="E41" s="5">
        <v>0.55833131215134602</v>
      </c>
      <c r="F41" s="5">
        <f t="shared" si="1"/>
        <v>1</v>
      </c>
      <c r="G41" s="5">
        <f t="shared" si="2"/>
        <v>0</v>
      </c>
      <c r="H41" s="5">
        <f t="shared" si="3"/>
        <v>0.27916565607567301</v>
      </c>
      <c r="I41" s="5">
        <f t="shared" si="4"/>
        <v>0</v>
      </c>
      <c r="J41" s="5">
        <v>0.66666666666666596</v>
      </c>
    </row>
    <row r="42" spans="1:10" ht="14.4" x14ac:dyDescent="0.25">
      <c r="A42" s="8" t="s">
        <v>182</v>
      </c>
      <c r="B42" s="4" t="s">
        <v>50</v>
      </c>
      <c r="C42" s="4">
        <v>0.28473852089514001</v>
      </c>
      <c r="D42" s="5">
        <f t="shared" si="0"/>
        <v>0.45909748141258899</v>
      </c>
      <c r="E42" s="5">
        <v>0.30092456015274799</v>
      </c>
      <c r="F42" s="5">
        <f t="shared" si="1"/>
        <v>0.53897131255854913</v>
      </c>
      <c r="G42" s="5">
        <f t="shared" si="2"/>
        <v>0.46102868744145087</v>
      </c>
      <c r="H42" s="5">
        <f t="shared" si="3"/>
        <v>0.3809766237970994</v>
      </c>
      <c r="I42" s="5">
        <f t="shared" si="4"/>
        <v>0.46102868744145076</v>
      </c>
      <c r="J42" s="5">
        <v>0.88888888888888795</v>
      </c>
    </row>
    <row r="43" spans="1:10" ht="14.4" x14ac:dyDescent="0.25">
      <c r="A43" s="8" t="s">
        <v>3</v>
      </c>
      <c r="B43" s="4" t="s">
        <v>51</v>
      </c>
      <c r="C43" s="4">
        <v>0.386277812514987</v>
      </c>
      <c r="D43" s="5">
        <f t="shared" si="0"/>
        <v>0.6988303957396661</v>
      </c>
      <c r="E43" s="5">
        <v>0.32049158894796398</v>
      </c>
      <c r="F43" s="5">
        <f t="shared" si="1"/>
        <v>0.57401686413225705</v>
      </c>
      <c r="G43" s="5">
        <f t="shared" si="2"/>
        <v>0.42598313586774295</v>
      </c>
      <c r="H43" s="5">
        <f t="shared" si="3"/>
        <v>0.37323736240785343</v>
      </c>
      <c r="I43" s="5">
        <f t="shared" si="4"/>
        <v>0.42598313586774278</v>
      </c>
      <c r="J43" s="5">
        <v>0.99107142857142805</v>
      </c>
    </row>
    <row r="44" spans="1:10" ht="14.4" x14ac:dyDescent="0.25">
      <c r="A44" s="8" t="s">
        <v>136</v>
      </c>
      <c r="B44" s="4" t="s">
        <v>52</v>
      </c>
      <c r="C44" s="4">
        <v>0.32981676566421803</v>
      </c>
      <c r="D44" s="5">
        <f t="shared" si="0"/>
        <v>0.56552661656649328</v>
      </c>
      <c r="E44" s="5">
        <v>0.30931002072599301</v>
      </c>
      <c r="F44" s="5">
        <f t="shared" si="1"/>
        <v>0.55399010228204582</v>
      </c>
      <c r="G44" s="5">
        <f t="shared" si="2"/>
        <v>0.44600989771795418</v>
      </c>
      <c r="H44" s="5">
        <f t="shared" si="3"/>
        <v>0.3776599592219736</v>
      </c>
      <c r="I44" s="5">
        <f t="shared" si="4"/>
        <v>0.44600989771795413</v>
      </c>
      <c r="J44" s="5">
        <v>0.86516853932584203</v>
      </c>
    </row>
    <row r="45" spans="1:10" ht="14.4" x14ac:dyDescent="0.25">
      <c r="A45" s="8" t="s">
        <v>137</v>
      </c>
      <c r="B45" s="4" t="s">
        <v>53</v>
      </c>
      <c r="C45" s="4">
        <v>0.32829626340745799</v>
      </c>
      <c r="D45" s="5">
        <f t="shared" si="0"/>
        <v>0.56193673100161567</v>
      </c>
      <c r="E45" s="5">
        <v>0.29462041226747099</v>
      </c>
      <c r="F45" s="5">
        <f t="shared" si="1"/>
        <v>0.52768026054682149</v>
      </c>
      <c r="G45" s="5">
        <f t="shared" si="2"/>
        <v>0.47231973945317851</v>
      </c>
      <c r="H45" s="5">
        <f t="shared" si="3"/>
        <v>0.38347007586032478</v>
      </c>
      <c r="I45" s="5">
        <f t="shared" si="4"/>
        <v>0.47231973945317862</v>
      </c>
      <c r="J45" s="5">
        <v>0.94274809160305295</v>
      </c>
    </row>
    <row r="46" spans="1:10" ht="14.4" x14ac:dyDescent="0.25">
      <c r="A46" s="8" t="s">
        <v>183</v>
      </c>
      <c r="B46" s="4" t="s">
        <v>54</v>
      </c>
      <c r="C46" s="4">
        <v>0.34526119084691198</v>
      </c>
      <c r="D46" s="5">
        <f t="shared" si="0"/>
        <v>0.60199069859904919</v>
      </c>
      <c r="E46" s="5">
        <v>0.32413385864306099</v>
      </c>
      <c r="F46" s="5">
        <f t="shared" si="1"/>
        <v>0.5805403558580976</v>
      </c>
      <c r="G46" s="5">
        <f t="shared" si="2"/>
        <v>0.4194596441419024</v>
      </c>
      <c r="H46" s="5">
        <f t="shared" si="3"/>
        <v>0.37179675139248169</v>
      </c>
      <c r="I46" s="5">
        <f t="shared" si="4"/>
        <v>0.4194596441419024</v>
      </c>
      <c r="J46" s="5">
        <v>0.91666666666666596</v>
      </c>
    </row>
    <row r="47" spans="1:10" ht="14.4" x14ac:dyDescent="0.25">
      <c r="A47" s="8" t="s">
        <v>138</v>
      </c>
      <c r="B47" s="4" t="s">
        <v>55</v>
      </c>
      <c r="C47" s="4">
        <v>0.34879211039094199</v>
      </c>
      <c r="D47" s="5">
        <f t="shared" si="0"/>
        <v>0.61032715258686976</v>
      </c>
      <c r="E47" s="5">
        <v>0.31556245686680401</v>
      </c>
      <c r="F47" s="5">
        <f t="shared" si="1"/>
        <v>0.56518853590870255</v>
      </c>
      <c r="G47" s="5">
        <f t="shared" si="2"/>
        <v>0.43481146409129745</v>
      </c>
      <c r="H47" s="5">
        <f t="shared" si="3"/>
        <v>0.37518696047905076</v>
      </c>
      <c r="I47" s="5">
        <f t="shared" si="4"/>
        <v>0.43481146409129751</v>
      </c>
      <c r="J47" s="5">
        <v>0.91034482758620605</v>
      </c>
    </row>
    <row r="48" spans="1:10" ht="14.4" x14ac:dyDescent="0.25">
      <c r="A48" s="8" t="s">
        <v>139</v>
      </c>
      <c r="B48" s="4" t="s">
        <v>56</v>
      </c>
      <c r="C48" s="4">
        <v>0.28954524842242102</v>
      </c>
      <c r="D48" s="5">
        <f t="shared" si="0"/>
        <v>0.47044610104650841</v>
      </c>
      <c r="E48" s="5">
        <v>0.29453958948220199</v>
      </c>
      <c r="F48" s="5">
        <f t="shared" si="1"/>
        <v>0.52753550279544703</v>
      </c>
      <c r="G48" s="5">
        <f t="shared" si="2"/>
        <v>0.47246449720455297</v>
      </c>
      <c r="H48" s="5">
        <f t="shared" si="3"/>
        <v>0.38350204334337745</v>
      </c>
      <c r="I48" s="5">
        <f t="shared" si="4"/>
        <v>0.4724644972045528</v>
      </c>
      <c r="J48" s="5">
        <v>0.88461538461538403</v>
      </c>
    </row>
    <row r="49" spans="1:10" ht="14.4" x14ac:dyDescent="0.25">
      <c r="A49" s="8" t="s">
        <v>140</v>
      </c>
      <c r="B49" s="4" t="s">
        <v>57</v>
      </c>
      <c r="C49" s="4">
        <v>0.314280229960822</v>
      </c>
      <c r="D49" s="5">
        <f t="shared" si="0"/>
        <v>0.52884506282209232</v>
      </c>
      <c r="E49" s="5">
        <v>0.32337526205450701</v>
      </c>
      <c r="F49" s="5">
        <f t="shared" si="1"/>
        <v>0.57918167048250768</v>
      </c>
      <c r="G49" s="5">
        <f t="shared" si="2"/>
        <v>0.42081832951749232</v>
      </c>
      <c r="H49" s="5">
        <f t="shared" si="3"/>
        <v>0.37209679578599963</v>
      </c>
      <c r="I49" s="5">
        <f t="shared" si="4"/>
        <v>0.42081832951749215</v>
      </c>
      <c r="J49" s="5">
        <v>0.75</v>
      </c>
    </row>
    <row r="50" spans="1:10" ht="14.4" x14ac:dyDescent="0.25">
      <c r="A50" s="8" t="s">
        <v>141</v>
      </c>
      <c r="B50" s="4" t="s">
        <v>58</v>
      </c>
      <c r="C50" s="4">
        <v>0.27727754577613301</v>
      </c>
      <c r="D50" s="5">
        <f t="shared" si="0"/>
        <v>0.44148221858706277</v>
      </c>
      <c r="E50" s="5">
        <v>0.39130434782608597</v>
      </c>
      <c r="F50" s="5">
        <f t="shared" si="1"/>
        <v>0.70084614512899768</v>
      </c>
      <c r="G50" s="5">
        <f t="shared" si="2"/>
        <v>0.29915385487100232</v>
      </c>
      <c r="H50" s="5">
        <f t="shared" si="3"/>
        <v>0.34522910134854412</v>
      </c>
      <c r="I50" s="5">
        <f t="shared" si="4"/>
        <v>0.29915385487100227</v>
      </c>
      <c r="J50" s="5">
        <v>0.66666666666666596</v>
      </c>
    </row>
    <row r="51" spans="1:10" ht="14.4" x14ac:dyDescent="0.25">
      <c r="A51" s="8" t="s">
        <v>142</v>
      </c>
      <c r="B51" s="4" t="s">
        <v>59</v>
      </c>
      <c r="C51" s="4">
        <v>0.370721286927363</v>
      </c>
      <c r="D51" s="5">
        <f t="shared" si="0"/>
        <v>0.66210164614500289</v>
      </c>
      <c r="E51" s="5">
        <v>0.20591333405978701</v>
      </c>
      <c r="F51" s="5">
        <f t="shared" si="1"/>
        <v>0.36880133637206863</v>
      </c>
      <c r="G51" s="5">
        <f t="shared" si="2"/>
        <v>0.63119866362793142</v>
      </c>
      <c r="H51" s="5">
        <f t="shared" si="3"/>
        <v>0.41855599884385919</v>
      </c>
      <c r="I51" s="5">
        <f t="shared" si="4"/>
        <v>0.63119866362793131</v>
      </c>
      <c r="J51" s="5">
        <v>0.8</v>
      </c>
    </row>
    <row r="52" spans="1:10" ht="14.4" x14ac:dyDescent="0.25">
      <c r="A52" s="8" t="s">
        <v>143</v>
      </c>
      <c r="B52" s="4" t="s">
        <v>60</v>
      </c>
      <c r="C52" s="4">
        <v>0.33767322502421898</v>
      </c>
      <c r="D52" s="5">
        <f t="shared" si="0"/>
        <v>0.58407561241449191</v>
      </c>
      <c r="E52" s="5">
        <v>0.30604951927167501</v>
      </c>
      <c r="F52" s="5">
        <f t="shared" si="1"/>
        <v>0.54815037704479419</v>
      </c>
      <c r="G52" s="5">
        <f t="shared" si="2"/>
        <v>0.45184962295520581</v>
      </c>
      <c r="H52" s="5">
        <f t="shared" si="3"/>
        <v>0.37894957111344041</v>
      </c>
      <c r="I52" s="5">
        <f t="shared" si="4"/>
        <v>0.45184962295520581</v>
      </c>
      <c r="J52" s="5">
        <v>0.94117647058823495</v>
      </c>
    </row>
    <row r="53" spans="1:10" ht="14.4" x14ac:dyDescent="0.25">
      <c r="A53" s="8" t="s">
        <v>144</v>
      </c>
      <c r="B53" s="4" t="s">
        <v>61</v>
      </c>
      <c r="C53" s="4">
        <v>0.28613558202459999</v>
      </c>
      <c r="D53" s="5">
        <f t="shared" si="0"/>
        <v>0.46239592412097852</v>
      </c>
      <c r="E53" s="5">
        <v>0.34471633819657599</v>
      </c>
      <c r="F53" s="5">
        <f t="shared" si="1"/>
        <v>0.61740463179169547</v>
      </c>
      <c r="G53" s="5">
        <f t="shared" si="2"/>
        <v>0.38259536820830453</v>
      </c>
      <c r="H53" s="5">
        <f t="shared" si="3"/>
        <v>0.36365585320244026</v>
      </c>
      <c r="I53" s="5">
        <f t="shared" si="4"/>
        <v>0.38259536820830459</v>
      </c>
      <c r="J53" s="5">
        <v>0.75</v>
      </c>
    </row>
    <row r="54" spans="1:10" ht="14.4" x14ac:dyDescent="0.25">
      <c r="A54" s="8" t="s">
        <v>145</v>
      </c>
      <c r="B54" s="4" t="s">
        <v>62</v>
      </c>
      <c r="C54" s="4">
        <v>0.29312580978360098</v>
      </c>
      <c r="D54" s="5">
        <f t="shared" si="0"/>
        <v>0.47889975870305657</v>
      </c>
      <c r="E54" s="5">
        <v>0.22699386503067401</v>
      </c>
      <c r="F54" s="5">
        <f t="shared" si="1"/>
        <v>0.40655764792418292</v>
      </c>
      <c r="G54" s="5">
        <f t="shared" si="2"/>
        <v>0.59344235207581708</v>
      </c>
      <c r="H54" s="5">
        <f t="shared" si="3"/>
        <v>0.41021810855324553</v>
      </c>
      <c r="I54" s="5">
        <f t="shared" si="4"/>
        <v>0.59344235207581697</v>
      </c>
      <c r="J54" s="5">
        <v>8.8304038893044098E-2</v>
      </c>
    </row>
    <row r="55" spans="1:10" ht="14.4" x14ac:dyDescent="0.25">
      <c r="A55" s="8" t="s">
        <v>146</v>
      </c>
      <c r="B55" s="4" t="s">
        <v>63</v>
      </c>
      <c r="C55" s="4">
        <v>0.369300865153743</v>
      </c>
      <c r="D55" s="5">
        <f t="shared" si="0"/>
        <v>0.65874804926707264</v>
      </c>
      <c r="E55" s="5">
        <v>0.33033787057838798</v>
      </c>
      <c r="F55" s="5">
        <f t="shared" si="1"/>
        <v>0.59165205925051867</v>
      </c>
      <c r="G55" s="5">
        <f t="shared" si="2"/>
        <v>0.40834794074948133</v>
      </c>
      <c r="H55" s="5">
        <f t="shared" si="3"/>
        <v>0.36934290566393468</v>
      </c>
      <c r="I55" s="5">
        <f t="shared" si="4"/>
        <v>0.40834794074948139</v>
      </c>
      <c r="J55" s="5">
        <v>0.92139737991266302</v>
      </c>
    </row>
    <row r="56" spans="1:10" ht="14.4" x14ac:dyDescent="0.25">
      <c r="A56" s="8" t="s">
        <v>147</v>
      </c>
      <c r="B56" s="4" t="s">
        <v>64</v>
      </c>
      <c r="C56" s="4">
        <v>0.34836190545701001</v>
      </c>
      <c r="D56" s="5">
        <f t="shared" si="0"/>
        <v>0.6093114444710841</v>
      </c>
      <c r="E56" s="5">
        <v>0.32823151691076202</v>
      </c>
      <c r="F56" s="5">
        <f t="shared" si="1"/>
        <v>0.58787947186058731</v>
      </c>
      <c r="G56" s="5">
        <f t="shared" si="2"/>
        <v>0.41212052813941269</v>
      </c>
      <c r="H56" s="5">
        <f t="shared" si="3"/>
        <v>0.37017602252508736</v>
      </c>
      <c r="I56" s="5">
        <f t="shared" si="4"/>
        <v>0.41212052813941275</v>
      </c>
      <c r="J56" s="5">
        <v>0.97435897435897401</v>
      </c>
    </row>
    <row r="57" spans="1:10" ht="14.4" x14ac:dyDescent="0.25">
      <c r="A57" s="8" t="s">
        <v>148</v>
      </c>
      <c r="B57" s="4" t="s">
        <v>65</v>
      </c>
      <c r="C57" s="4">
        <v>0.35548541470924599</v>
      </c>
      <c r="D57" s="5">
        <f t="shared" si="0"/>
        <v>0.62612995488248269</v>
      </c>
      <c r="E57" s="5">
        <v>0.284193995076436</v>
      </c>
      <c r="F57" s="5">
        <f t="shared" si="1"/>
        <v>0.50900601290188785</v>
      </c>
      <c r="G57" s="5">
        <f t="shared" si="2"/>
        <v>0.49099398709811215</v>
      </c>
      <c r="H57" s="5">
        <f t="shared" si="3"/>
        <v>0.3875939910872741</v>
      </c>
      <c r="I57" s="5">
        <f t="shared" si="4"/>
        <v>0.49099398709811226</v>
      </c>
      <c r="J57" s="5">
        <v>0.919191919191919</v>
      </c>
    </row>
    <row r="58" spans="1:10" ht="14.4" x14ac:dyDescent="0.25">
      <c r="A58" s="8" t="s">
        <v>149</v>
      </c>
      <c r="B58" s="4" t="s">
        <v>66</v>
      </c>
      <c r="C58" s="4">
        <v>0.31015392630307398</v>
      </c>
      <c r="D58" s="5">
        <f t="shared" si="0"/>
        <v>0.51910291487631077</v>
      </c>
      <c r="E58" s="5">
        <v>0.343216531895777</v>
      </c>
      <c r="F58" s="5">
        <f t="shared" si="1"/>
        <v>0.61471840182723236</v>
      </c>
      <c r="G58" s="5">
        <f t="shared" si="2"/>
        <v>0.38528159817276764</v>
      </c>
      <c r="H58" s="5">
        <f t="shared" si="3"/>
        <v>0.36424906503427235</v>
      </c>
      <c r="I58" s="5">
        <f t="shared" si="4"/>
        <v>0.38528159817276769</v>
      </c>
      <c r="J58" s="5">
        <v>0.66666666666666596</v>
      </c>
    </row>
    <row r="59" spans="1:10" ht="14.4" x14ac:dyDescent="0.25">
      <c r="A59" s="8" t="s">
        <v>150</v>
      </c>
      <c r="B59" s="4" t="s">
        <v>67</v>
      </c>
      <c r="C59" s="4">
        <v>0.33637221601930101</v>
      </c>
      <c r="D59" s="5">
        <f t="shared" si="0"/>
        <v>0.58100394749208473</v>
      </c>
      <c r="E59" s="5">
        <v>0.32222354588597102</v>
      </c>
      <c r="F59" s="5">
        <f t="shared" si="1"/>
        <v>0.57711888778794906</v>
      </c>
      <c r="G59" s="5">
        <f t="shared" si="2"/>
        <v>0.42288111221205094</v>
      </c>
      <c r="H59" s="5">
        <f t="shared" si="3"/>
        <v>0.37255232904901098</v>
      </c>
      <c r="I59" s="5">
        <f t="shared" si="4"/>
        <v>0.42288111221205094</v>
      </c>
      <c r="J59" s="5">
        <v>0.93920972644376899</v>
      </c>
    </row>
    <row r="60" spans="1:10" ht="14.4" x14ac:dyDescent="0.25">
      <c r="A60" s="8" t="s">
        <v>151</v>
      </c>
      <c r="B60" s="4" t="s">
        <v>68</v>
      </c>
      <c r="C60" s="4">
        <v>0.27215319579922898</v>
      </c>
      <c r="D60" s="5">
        <f t="shared" si="0"/>
        <v>0.42938369658245412</v>
      </c>
      <c r="E60" s="5">
        <v>0.27859477124183002</v>
      </c>
      <c r="F60" s="5">
        <f t="shared" si="1"/>
        <v>0.49897751599915957</v>
      </c>
      <c r="G60" s="5">
        <f t="shared" si="2"/>
        <v>0.50102248400084037</v>
      </c>
      <c r="H60" s="5">
        <f t="shared" si="3"/>
        <v>0.38980862762133517</v>
      </c>
      <c r="I60" s="5">
        <f t="shared" si="4"/>
        <v>0.50102248400084015</v>
      </c>
      <c r="J60" s="5">
        <v>0.86956521739130399</v>
      </c>
    </row>
    <row r="61" spans="1:10" ht="14.4" x14ac:dyDescent="0.25">
      <c r="A61" s="8" t="s">
        <v>152</v>
      </c>
      <c r="B61" s="4" t="s">
        <v>69</v>
      </c>
      <c r="C61" s="4">
        <v>0.328168059166278</v>
      </c>
      <c r="D61" s="5">
        <f t="shared" si="0"/>
        <v>0.56163404249673388</v>
      </c>
      <c r="E61" s="5">
        <v>0.33518936779806302</v>
      </c>
      <c r="F61" s="5">
        <f t="shared" si="1"/>
        <v>0.60034133945760815</v>
      </c>
      <c r="G61" s="5">
        <f t="shared" si="2"/>
        <v>0.39965866054239185</v>
      </c>
      <c r="H61" s="5">
        <f t="shared" si="3"/>
        <v>0.36742401417022741</v>
      </c>
      <c r="I61" s="5">
        <f t="shared" si="4"/>
        <v>0.3996586605423918</v>
      </c>
      <c r="J61" s="5">
        <v>0.88802083333333304</v>
      </c>
    </row>
    <row r="62" spans="1:10" ht="14.4" x14ac:dyDescent="0.25">
      <c r="A62" s="8" t="s">
        <v>4</v>
      </c>
      <c r="B62" s="4" t="s">
        <v>70</v>
      </c>
      <c r="C62" s="4">
        <v>0.34708399978603799</v>
      </c>
      <c r="D62" s="5">
        <f t="shared" si="0"/>
        <v>0.60629432621223134</v>
      </c>
      <c r="E62" s="5">
        <v>0.20696549969098699</v>
      </c>
      <c r="F62" s="5">
        <f t="shared" si="1"/>
        <v>0.37068581895132036</v>
      </c>
      <c r="G62" s="5">
        <f t="shared" si="2"/>
        <v>0.62931418104867964</v>
      </c>
      <c r="H62" s="5">
        <f t="shared" si="3"/>
        <v>0.41813984036983332</v>
      </c>
      <c r="I62" s="5">
        <f t="shared" si="4"/>
        <v>0.62931418104867964</v>
      </c>
      <c r="J62" s="5">
        <v>0.66666666666666596</v>
      </c>
    </row>
    <row r="63" spans="1:10" ht="14.4" x14ac:dyDescent="0.25">
      <c r="A63" s="8" t="s">
        <v>153</v>
      </c>
      <c r="B63" s="4" t="s">
        <v>71</v>
      </c>
      <c r="C63" s="4">
        <v>0.294576359375538</v>
      </c>
      <c r="D63" s="5">
        <f t="shared" si="0"/>
        <v>0.4823244869585277</v>
      </c>
      <c r="E63" s="5">
        <v>0.36422493525712102</v>
      </c>
      <c r="F63" s="5">
        <f t="shared" si="1"/>
        <v>0.65234552913341015</v>
      </c>
      <c r="G63" s="5">
        <f t="shared" si="2"/>
        <v>0.34765447086658985</v>
      </c>
      <c r="H63" s="5">
        <f t="shared" si="3"/>
        <v>0.35593970306185541</v>
      </c>
      <c r="I63" s="5">
        <f t="shared" si="4"/>
        <v>0.34765447086658974</v>
      </c>
      <c r="J63" s="5">
        <v>0.92307692307692302</v>
      </c>
    </row>
    <row r="64" spans="1:10" ht="14.4" x14ac:dyDescent="0.25">
      <c r="A64" s="8" t="s">
        <v>154</v>
      </c>
      <c r="B64" s="4" t="s">
        <v>72</v>
      </c>
      <c r="C64" s="4">
        <v>0.25028760560770003</v>
      </c>
      <c r="D64" s="5">
        <f t="shared" si="0"/>
        <v>0.3777593295372127</v>
      </c>
      <c r="E64" s="5">
        <v>0.455026455026455</v>
      </c>
      <c r="F64" s="5">
        <f t="shared" si="1"/>
        <v>0.81497570550567955</v>
      </c>
      <c r="G64" s="5">
        <f t="shared" si="2"/>
        <v>0.18502429449432045</v>
      </c>
      <c r="H64" s="5">
        <f t="shared" si="3"/>
        <v>0.32002537476038773</v>
      </c>
      <c r="I64" s="5">
        <f t="shared" si="4"/>
        <v>0.18502429449432042</v>
      </c>
      <c r="J64" s="5">
        <v>0.66666666666666596</v>
      </c>
    </row>
    <row r="65" spans="1:10" ht="14.4" x14ac:dyDescent="0.25">
      <c r="A65" s="8" t="s">
        <v>184</v>
      </c>
      <c r="B65" s="4" t="s">
        <v>73</v>
      </c>
      <c r="C65" s="4">
        <v>0.24513182947537299</v>
      </c>
      <c r="D65" s="5">
        <f t="shared" si="0"/>
        <v>0.36558661079845844</v>
      </c>
      <c r="E65" s="5">
        <v>0.48351648351648302</v>
      </c>
      <c r="F65" s="5">
        <f t="shared" si="1"/>
        <v>0.86600280692374454</v>
      </c>
      <c r="G65" s="5">
        <f t="shared" si="2"/>
        <v>0.13399719307625546</v>
      </c>
      <c r="H65" s="5">
        <f t="shared" si="3"/>
        <v>0.30875683829636924</v>
      </c>
      <c r="I65" s="5">
        <f t="shared" si="4"/>
        <v>0.13399719307625541</v>
      </c>
      <c r="J65" s="5">
        <v>0.66666666666666596</v>
      </c>
    </row>
    <row r="66" spans="1:10" ht="14.4" x14ac:dyDescent="0.25">
      <c r="A66" s="8" t="s">
        <v>108</v>
      </c>
      <c r="B66" s="4" t="s">
        <v>74</v>
      </c>
      <c r="C66" s="4">
        <v>0.217813005439014</v>
      </c>
      <c r="D66" s="5">
        <f t="shared" si="0"/>
        <v>0.3010872313193837</v>
      </c>
      <c r="E66" s="5">
        <v>0.47066774804000999</v>
      </c>
      <c r="F66" s="5">
        <f t="shared" si="1"/>
        <v>0.84299006306210322</v>
      </c>
      <c r="G66" s="5">
        <f t="shared" si="2"/>
        <v>0.15700993693789678</v>
      </c>
      <c r="H66" s="5">
        <f t="shared" si="3"/>
        <v>0.31383884248895338</v>
      </c>
      <c r="I66" s="5">
        <f t="shared" si="4"/>
        <v>0.15700993693789672</v>
      </c>
      <c r="J66" s="5">
        <v>0.66666666666666596</v>
      </c>
    </row>
    <row r="67" spans="1:10" ht="14.4" x14ac:dyDescent="0.25">
      <c r="A67" s="8" t="s">
        <v>155</v>
      </c>
      <c r="B67" s="4" t="s">
        <v>75</v>
      </c>
      <c r="C67" s="4">
        <v>0.36423850274824099</v>
      </c>
      <c r="D67" s="5">
        <f t="shared" ref="D67:D95" si="5">(C67-$C$99)/($C$101-$C$99)</f>
        <v>0.64679587909245218</v>
      </c>
      <c r="E67" s="5">
        <v>0.30808361475655099</v>
      </c>
      <c r="F67" s="5">
        <f t="shared" ref="F67:F95" si="6">(E67-$E$99)/($E$101-$E$99)</f>
        <v>0.55179354632548216</v>
      </c>
      <c r="G67" s="5">
        <f t="shared" ref="G67:G95" si="7">1-F67</f>
        <v>0.44820645367451784</v>
      </c>
      <c r="H67" s="5">
        <f t="shared" ref="H67:H95" si="8">(E67+G67)/2</f>
        <v>0.37814503421553441</v>
      </c>
      <c r="I67" s="5">
        <f t="shared" ref="I67:I95" si="9">(H67-$H$99)/($H$101-$H$99)</f>
        <v>0.44820645367451784</v>
      </c>
      <c r="J67" s="5">
        <v>0.66666666666666596</v>
      </c>
    </row>
    <row r="68" spans="1:10" ht="14.4" x14ac:dyDescent="0.25">
      <c r="A68" s="8" t="s">
        <v>185</v>
      </c>
      <c r="B68" s="4" t="s">
        <v>76</v>
      </c>
      <c r="C68" s="4">
        <v>9.0286986453400705E-2</v>
      </c>
      <c r="D68" s="5">
        <f t="shared" si="5"/>
        <v>0</v>
      </c>
      <c r="E68" s="5">
        <v>4.7120418848167499E-2</v>
      </c>
      <c r="F68" s="5">
        <f t="shared" si="6"/>
        <v>8.4395085539094111E-2</v>
      </c>
      <c r="G68" s="5">
        <f t="shared" si="7"/>
        <v>0.91560491446090586</v>
      </c>
      <c r="H68" s="5">
        <f t="shared" si="8"/>
        <v>0.4813626666545367</v>
      </c>
      <c r="I68" s="5">
        <f t="shared" si="9"/>
        <v>0.91560491446090586</v>
      </c>
      <c r="J68" s="5">
        <v>7.0987637475097495E-2</v>
      </c>
    </row>
    <row r="69" spans="1:10" ht="14.4" x14ac:dyDescent="0.25">
      <c r="A69" s="8" t="s">
        <v>5</v>
      </c>
      <c r="B69" s="4" t="s">
        <v>77</v>
      </c>
      <c r="C69" s="4">
        <v>0.18925871471852301</v>
      </c>
      <c r="D69" s="5">
        <f t="shared" si="5"/>
        <v>0.23367093146381229</v>
      </c>
      <c r="E69" s="5">
        <v>0.15606936416184899</v>
      </c>
      <c r="F69" s="5">
        <f t="shared" si="6"/>
        <v>0.27952823129422394</v>
      </c>
      <c r="G69" s="5">
        <f t="shared" si="7"/>
        <v>0.72047176870577601</v>
      </c>
      <c r="H69" s="5">
        <f t="shared" si="8"/>
        <v>0.43827056643381251</v>
      </c>
      <c r="I69" s="5">
        <f t="shared" si="9"/>
        <v>0.72047176870577601</v>
      </c>
      <c r="J69" s="5">
        <v>0.17134986225895299</v>
      </c>
    </row>
    <row r="70" spans="1:10" ht="14.4" x14ac:dyDescent="0.25">
      <c r="A70" s="8" t="s">
        <v>156</v>
      </c>
      <c r="B70" s="4" t="s">
        <v>78</v>
      </c>
      <c r="C70" s="4">
        <v>0.31574116800518298</v>
      </c>
      <c r="D70" s="5">
        <f t="shared" si="5"/>
        <v>0.53229431807529226</v>
      </c>
      <c r="E70" s="5">
        <v>0.33009279717189499</v>
      </c>
      <c r="F70" s="5">
        <f t="shared" si="6"/>
        <v>0.59121312021708217</v>
      </c>
      <c r="G70" s="5">
        <f t="shared" si="7"/>
        <v>0.40878687978291783</v>
      </c>
      <c r="H70" s="5">
        <f t="shared" si="8"/>
        <v>0.36943983847740641</v>
      </c>
      <c r="I70" s="5">
        <f t="shared" si="9"/>
        <v>0.40878687978291789</v>
      </c>
      <c r="J70" s="5">
        <v>0.66666666666666596</v>
      </c>
    </row>
    <row r="71" spans="1:10" ht="14.4" x14ac:dyDescent="0.25">
      <c r="A71" s="8" t="s">
        <v>157</v>
      </c>
      <c r="B71" s="4" t="s">
        <v>79</v>
      </c>
      <c r="C71" s="4">
        <v>9.0286986453400705E-2</v>
      </c>
      <c r="D71" s="5">
        <f t="shared" si="5"/>
        <v>0</v>
      </c>
      <c r="E71" s="5">
        <v>0.265822784810126</v>
      </c>
      <c r="F71" s="5">
        <f t="shared" si="6"/>
        <v>0.47610223361083825</v>
      </c>
      <c r="G71" s="5">
        <f t="shared" si="7"/>
        <v>0.52389776638916175</v>
      </c>
      <c r="H71" s="5">
        <f t="shared" si="8"/>
        <v>0.39486027559964387</v>
      </c>
      <c r="I71" s="5">
        <f t="shared" si="9"/>
        <v>0.52389776638916175</v>
      </c>
      <c r="J71" s="5">
        <v>0.90858081291911796</v>
      </c>
    </row>
    <row r="72" spans="1:10" ht="14.4" x14ac:dyDescent="0.25">
      <c r="A72" s="8" t="s">
        <v>158</v>
      </c>
      <c r="B72" s="4" t="s">
        <v>80</v>
      </c>
      <c r="C72" s="4">
        <v>0.305684109315837</v>
      </c>
      <c r="D72" s="5">
        <f t="shared" si="5"/>
        <v>0.50854973653751734</v>
      </c>
      <c r="E72" s="5">
        <v>0.28173628173628101</v>
      </c>
      <c r="F72" s="5">
        <f t="shared" si="6"/>
        <v>0.50460412232783958</v>
      </c>
      <c r="G72" s="5">
        <f t="shared" si="7"/>
        <v>0.49539587767216042</v>
      </c>
      <c r="H72" s="5">
        <f t="shared" si="8"/>
        <v>0.38856607970422075</v>
      </c>
      <c r="I72" s="5">
        <f t="shared" si="9"/>
        <v>0.49539587767216059</v>
      </c>
      <c r="J72" s="5">
        <v>0.8</v>
      </c>
    </row>
    <row r="73" spans="1:10" ht="14.4" x14ac:dyDescent="0.25">
      <c r="A73" s="8" t="s">
        <v>159</v>
      </c>
      <c r="B73" s="4" t="s">
        <v>81</v>
      </c>
      <c r="C73" s="4">
        <v>0.124817691956945</v>
      </c>
      <c r="D73" s="5">
        <f t="shared" si="5"/>
        <v>8.1526535512255402E-2</v>
      </c>
      <c r="E73" s="5">
        <v>4.1666666666666602E-2</v>
      </c>
      <c r="F73" s="5">
        <f t="shared" si="6"/>
        <v>7.4627135823921123E-2</v>
      </c>
      <c r="G73" s="5">
        <f t="shared" si="7"/>
        <v>0.92537286417607889</v>
      </c>
      <c r="H73" s="5">
        <f t="shared" si="8"/>
        <v>0.48351976542137276</v>
      </c>
      <c r="I73" s="5">
        <f t="shared" si="9"/>
        <v>0.925372864176079</v>
      </c>
      <c r="J73" s="5">
        <v>3.0188679245282998E-2</v>
      </c>
    </row>
    <row r="74" spans="1:10" ht="14.4" x14ac:dyDescent="0.25">
      <c r="A74" s="8" t="s">
        <v>160</v>
      </c>
      <c r="B74" s="4" t="s">
        <v>82</v>
      </c>
      <c r="C74" s="4">
        <v>0.34386025042063301</v>
      </c>
      <c r="D74" s="5">
        <f t="shared" si="5"/>
        <v>0.59868309692256838</v>
      </c>
      <c r="E74" s="5">
        <v>0.3131835012486</v>
      </c>
      <c r="F74" s="5">
        <f t="shared" si="6"/>
        <v>0.56092770445177154</v>
      </c>
      <c r="G74" s="5">
        <f t="shared" si="7"/>
        <v>0.43907229554822846</v>
      </c>
      <c r="H74" s="5">
        <f t="shared" si="8"/>
        <v>0.37612789839841421</v>
      </c>
      <c r="I74" s="5">
        <f t="shared" si="9"/>
        <v>0.4390722955482283</v>
      </c>
      <c r="J74" s="5">
        <v>0.83333333333333304</v>
      </c>
    </row>
    <row r="75" spans="1:10" ht="14.4" x14ac:dyDescent="0.25">
      <c r="A75" s="8" t="s">
        <v>186</v>
      </c>
      <c r="B75" s="4" t="s">
        <v>83</v>
      </c>
      <c r="C75" s="4">
        <v>0.29115529087790698</v>
      </c>
      <c r="D75" s="5">
        <f t="shared" si="5"/>
        <v>0.47424738982729925</v>
      </c>
      <c r="E75" s="5">
        <v>0.31465517241379298</v>
      </c>
      <c r="F75" s="5">
        <f t="shared" si="6"/>
        <v>0.56356354294616362</v>
      </c>
      <c r="G75" s="5">
        <f t="shared" si="7"/>
        <v>0.43643645705383638</v>
      </c>
      <c r="H75" s="5">
        <f t="shared" si="8"/>
        <v>0.37554581473381465</v>
      </c>
      <c r="I75" s="5">
        <f t="shared" si="9"/>
        <v>0.43643645705383627</v>
      </c>
      <c r="J75" s="5">
        <v>0.8</v>
      </c>
    </row>
    <row r="76" spans="1:10" ht="14.4" x14ac:dyDescent="0.25">
      <c r="A76" s="8" t="s">
        <v>161</v>
      </c>
      <c r="B76" s="4" t="s">
        <v>84</v>
      </c>
      <c r="C76" s="4">
        <v>0.32844529858541399</v>
      </c>
      <c r="D76" s="5">
        <f t="shared" si="5"/>
        <v>0.56228860107061729</v>
      </c>
      <c r="E76" s="5">
        <v>0.27105052125100199</v>
      </c>
      <c r="F76" s="5">
        <f t="shared" si="6"/>
        <v>0.48546537754903624</v>
      </c>
      <c r="G76" s="5">
        <f t="shared" si="7"/>
        <v>0.51453462245096371</v>
      </c>
      <c r="H76" s="5">
        <f t="shared" si="8"/>
        <v>0.39279257185098282</v>
      </c>
      <c r="I76" s="5">
        <f t="shared" si="9"/>
        <v>0.51453462245096349</v>
      </c>
      <c r="J76" s="5">
        <v>0.83333333333333304</v>
      </c>
    </row>
    <row r="77" spans="1:10" ht="14.4" x14ac:dyDescent="0.25">
      <c r="A77" s="8" t="s">
        <v>162</v>
      </c>
      <c r="B77" s="4" t="s">
        <v>85</v>
      </c>
      <c r="C77" s="4">
        <v>0.35278039870072098</v>
      </c>
      <c r="D77" s="5">
        <f t="shared" si="5"/>
        <v>0.61974344813539062</v>
      </c>
      <c r="E77" s="5">
        <v>0.33138711960368</v>
      </c>
      <c r="F77" s="5">
        <f t="shared" si="6"/>
        <v>0.59353131803908465</v>
      </c>
      <c r="G77" s="5">
        <f t="shared" si="7"/>
        <v>0.40646868196091535</v>
      </c>
      <c r="H77" s="5">
        <f t="shared" si="8"/>
        <v>0.36892790078229765</v>
      </c>
      <c r="I77" s="5">
        <f t="shared" si="9"/>
        <v>0.40646868196091523</v>
      </c>
      <c r="J77" s="5">
        <v>0.51798561151079103</v>
      </c>
    </row>
    <row r="78" spans="1:10" ht="14.4" x14ac:dyDescent="0.25">
      <c r="A78" s="8" t="s">
        <v>187</v>
      </c>
      <c r="B78" s="4" t="s">
        <v>86</v>
      </c>
      <c r="C78" s="4">
        <v>0.39519392253128599</v>
      </c>
      <c r="D78" s="5">
        <f t="shared" si="5"/>
        <v>0.71988121266549943</v>
      </c>
      <c r="E78" s="5">
        <v>0.317722284628013</v>
      </c>
      <c r="F78" s="5">
        <f t="shared" si="6"/>
        <v>0.569056898141311</v>
      </c>
      <c r="G78" s="5">
        <f t="shared" si="7"/>
        <v>0.430943101858689</v>
      </c>
      <c r="H78" s="5">
        <f t="shared" si="8"/>
        <v>0.374332693243351</v>
      </c>
      <c r="I78" s="5">
        <f t="shared" si="9"/>
        <v>0.43094310185868895</v>
      </c>
      <c r="J78" s="5">
        <v>0.875</v>
      </c>
    </row>
    <row r="79" spans="1:10" ht="14.4" x14ac:dyDescent="0.25">
      <c r="A79" s="8" t="s">
        <v>163</v>
      </c>
      <c r="B79" s="4" t="s">
        <v>87</v>
      </c>
      <c r="C79" s="4">
        <v>0.29526211988506201</v>
      </c>
      <c r="D79" s="5">
        <f t="shared" si="5"/>
        <v>0.48394355838256431</v>
      </c>
      <c r="E79" s="5">
        <v>0.240399385560675</v>
      </c>
      <c r="F79" s="5">
        <f t="shared" si="6"/>
        <v>0.4305676223573689</v>
      </c>
      <c r="G79" s="5">
        <f t="shared" si="7"/>
        <v>0.5694323776426311</v>
      </c>
      <c r="H79" s="5">
        <f t="shared" si="8"/>
        <v>0.40491588160165304</v>
      </c>
      <c r="I79" s="5">
        <f t="shared" si="9"/>
        <v>0.56943237764263099</v>
      </c>
      <c r="J79" s="5">
        <v>0.66666666666666596</v>
      </c>
    </row>
    <row r="80" spans="1:10" ht="14.4" x14ac:dyDescent="0.25">
      <c r="A80" s="8" t="s">
        <v>164</v>
      </c>
      <c r="B80" s="4" t="s">
        <v>88</v>
      </c>
      <c r="C80" s="4">
        <v>0.314292769775674</v>
      </c>
      <c r="D80" s="5">
        <f t="shared" si="5"/>
        <v>0.52887466915784309</v>
      </c>
      <c r="E80" s="5">
        <v>0.32927044691750501</v>
      </c>
      <c r="F80" s="5">
        <f t="shared" si="6"/>
        <v>0.58974024875798148</v>
      </c>
      <c r="G80" s="5">
        <f t="shared" si="7"/>
        <v>0.41025975124201852</v>
      </c>
      <c r="H80" s="5">
        <f t="shared" si="8"/>
        <v>0.36976509907976174</v>
      </c>
      <c r="I80" s="5">
        <f t="shared" si="9"/>
        <v>0.41025975124201841</v>
      </c>
      <c r="J80" s="5">
        <v>0.96590909090909005</v>
      </c>
    </row>
    <row r="81" spans="1:10" ht="14.4" x14ac:dyDescent="0.25">
      <c r="A81" s="8" t="s">
        <v>165</v>
      </c>
      <c r="B81" s="4" t="s">
        <v>89</v>
      </c>
      <c r="C81" s="4">
        <v>0.307039842376991</v>
      </c>
      <c r="D81" s="5">
        <f t="shared" si="5"/>
        <v>0.5117506042274047</v>
      </c>
      <c r="E81" s="5">
        <v>0.31721478400277298</v>
      </c>
      <c r="F81" s="5">
        <f t="shared" si="6"/>
        <v>0.56814793850713863</v>
      </c>
      <c r="G81" s="5">
        <f t="shared" si="7"/>
        <v>0.43185206149286137</v>
      </c>
      <c r="H81" s="5">
        <f t="shared" si="8"/>
        <v>0.3745334227478172</v>
      </c>
      <c r="I81" s="5">
        <f t="shared" si="9"/>
        <v>0.43185206149286154</v>
      </c>
      <c r="J81" s="5">
        <v>0.66666666666666596</v>
      </c>
    </row>
    <row r="82" spans="1:10" ht="14.4" x14ac:dyDescent="0.25">
      <c r="A82" s="8" t="s">
        <v>6</v>
      </c>
      <c r="B82" s="4" t="s">
        <v>90</v>
      </c>
      <c r="C82" s="4">
        <v>0.34812912932506002</v>
      </c>
      <c r="D82" s="5">
        <f t="shared" si="5"/>
        <v>0.60876186312569636</v>
      </c>
      <c r="E82" s="5">
        <v>0.25078173858661601</v>
      </c>
      <c r="F82" s="5">
        <f t="shared" si="6"/>
        <v>0.44916294882390007</v>
      </c>
      <c r="G82" s="5">
        <f t="shared" si="7"/>
        <v>0.55083705117609993</v>
      </c>
      <c r="H82" s="5">
        <f t="shared" si="8"/>
        <v>0.40080939488135797</v>
      </c>
      <c r="I82" s="5">
        <f t="shared" si="9"/>
        <v>0.55083705117609993</v>
      </c>
      <c r="J82" s="5">
        <v>0.88888888888888795</v>
      </c>
    </row>
    <row r="83" spans="1:10" ht="14.4" x14ac:dyDescent="0.25">
      <c r="A83" s="8" t="s">
        <v>166</v>
      </c>
      <c r="B83" s="4" t="s">
        <v>91</v>
      </c>
      <c r="C83" s="4">
        <v>0.34663790052513499</v>
      </c>
      <c r="D83" s="5">
        <f t="shared" si="5"/>
        <v>0.60524109180228658</v>
      </c>
      <c r="E83" s="5">
        <v>0.31944444444444398</v>
      </c>
      <c r="F83" s="5">
        <f t="shared" si="6"/>
        <v>0.57214137465006198</v>
      </c>
      <c r="G83" s="5">
        <f t="shared" si="7"/>
        <v>0.42785862534993802</v>
      </c>
      <c r="H83" s="5">
        <f t="shared" si="8"/>
        <v>0.373651534897191</v>
      </c>
      <c r="I83" s="5">
        <f t="shared" si="9"/>
        <v>0.42785862534993802</v>
      </c>
      <c r="J83" s="5">
        <v>0.75</v>
      </c>
    </row>
    <row r="84" spans="1:10" ht="14.4" x14ac:dyDescent="0.25">
      <c r="A84" s="8" t="s">
        <v>167</v>
      </c>
      <c r="B84" s="4" t="s">
        <v>92</v>
      </c>
      <c r="C84" s="4">
        <v>0.26176759553030898</v>
      </c>
      <c r="D84" s="5">
        <f t="shared" si="5"/>
        <v>0.40486343275369197</v>
      </c>
      <c r="E84" s="5">
        <v>0.20433996383363401</v>
      </c>
      <c r="F84" s="5">
        <f t="shared" si="6"/>
        <v>0.3659833496464262</v>
      </c>
      <c r="G84" s="5">
        <f t="shared" si="7"/>
        <v>0.6340166503535738</v>
      </c>
      <c r="H84" s="5">
        <f t="shared" si="8"/>
        <v>0.41917830709360393</v>
      </c>
      <c r="I84" s="5">
        <f t="shared" si="9"/>
        <v>0.63401665035357391</v>
      </c>
      <c r="J84" s="5">
        <v>0.66666666666666596</v>
      </c>
    </row>
    <row r="85" spans="1:10" ht="14.4" x14ac:dyDescent="0.25">
      <c r="A85" s="8" t="s">
        <v>168</v>
      </c>
      <c r="B85" s="4" t="s">
        <v>93</v>
      </c>
      <c r="C85" s="4">
        <v>0.29111731406603097</v>
      </c>
      <c r="D85" s="5">
        <f t="shared" si="5"/>
        <v>0.47415772708056692</v>
      </c>
      <c r="E85" s="5">
        <v>0.30604951927167501</v>
      </c>
      <c r="F85" s="5">
        <f t="shared" si="6"/>
        <v>0.54815037704479419</v>
      </c>
      <c r="G85" s="5">
        <f t="shared" si="7"/>
        <v>0.45184962295520581</v>
      </c>
      <c r="H85" s="5">
        <f t="shared" si="8"/>
        <v>0.37894957111344041</v>
      </c>
      <c r="I85" s="5">
        <f t="shared" si="9"/>
        <v>0.45184962295520581</v>
      </c>
      <c r="J85" s="5">
        <v>0.66666666666666596</v>
      </c>
    </row>
    <row r="86" spans="1:10" ht="14.4" x14ac:dyDescent="0.25">
      <c r="A86" s="8" t="s">
        <v>169</v>
      </c>
      <c r="B86" s="4" t="s">
        <v>94</v>
      </c>
      <c r="C86" s="4">
        <v>0.33011324282300503</v>
      </c>
      <c r="D86" s="5">
        <f t="shared" si="5"/>
        <v>0.56622659518731633</v>
      </c>
      <c r="E86" s="5">
        <v>0.25865822283791801</v>
      </c>
      <c r="F86" s="5">
        <f t="shared" si="6"/>
        <v>0.46327013586478544</v>
      </c>
      <c r="G86" s="5">
        <f t="shared" si="7"/>
        <v>0.53672986413521451</v>
      </c>
      <c r="H86" s="5">
        <f t="shared" si="8"/>
        <v>0.39769404348656623</v>
      </c>
      <c r="I86" s="5">
        <f t="shared" si="9"/>
        <v>0.53672986413521429</v>
      </c>
      <c r="J86" s="5">
        <v>0.66666666666666596</v>
      </c>
    </row>
    <row r="87" spans="1:10" ht="14.4" x14ac:dyDescent="0.25">
      <c r="A87" s="8" t="s">
        <v>170</v>
      </c>
      <c r="B87" s="4" t="s">
        <v>95</v>
      </c>
      <c r="C87" s="4">
        <v>0.39765931946792199</v>
      </c>
      <c r="D87" s="5">
        <f t="shared" si="5"/>
        <v>0.7257019819772017</v>
      </c>
      <c r="E87" s="5">
        <v>0.41429285357321299</v>
      </c>
      <c r="F87" s="5">
        <f t="shared" si="6"/>
        <v>0.74201973730771398</v>
      </c>
      <c r="G87" s="5">
        <f t="shared" si="7"/>
        <v>0.25798026269228602</v>
      </c>
      <c r="H87" s="5">
        <f t="shared" si="8"/>
        <v>0.33613655813274951</v>
      </c>
      <c r="I87" s="5">
        <f t="shared" si="9"/>
        <v>0.25798026269228597</v>
      </c>
      <c r="J87" s="5">
        <v>0.9</v>
      </c>
    </row>
    <row r="88" spans="1:10" ht="14.4" x14ac:dyDescent="0.25">
      <c r="A88" s="8" t="s">
        <v>171</v>
      </c>
      <c r="B88" s="4" t="s">
        <v>96</v>
      </c>
      <c r="C88" s="4">
        <v>0.28061520946041002</v>
      </c>
      <c r="D88" s="5">
        <f t="shared" si="5"/>
        <v>0.4493623980654764</v>
      </c>
      <c r="E88" s="5">
        <v>0.38963720890659498</v>
      </c>
      <c r="F88" s="5">
        <f t="shared" si="6"/>
        <v>0.6978602138670249</v>
      </c>
      <c r="G88" s="5">
        <f t="shared" si="7"/>
        <v>0.3021397861329751</v>
      </c>
      <c r="H88" s="5">
        <f t="shared" si="8"/>
        <v>0.34588849751978501</v>
      </c>
      <c r="I88" s="5">
        <f t="shared" si="9"/>
        <v>0.30213978613297499</v>
      </c>
      <c r="J88" s="5">
        <v>0.66666666666666596</v>
      </c>
    </row>
    <row r="89" spans="1:10" ht="14.4" x14ac:dyDescent="0.25">
      <c r="A89" s="8" t="s">
        <v>188</v>
      </c>
      <c r="B89" s="4" t="s">
        <v>97</v>
      </c>
      <c r="C89" s="4">
        <v>0.34769812947095402</v>
      </c>
      <c r="D89" s="5">
        <f t="shared" si="5"/>
        <v>0.60774427821397359</v>
      </c>
      <c r="E89" s="5">
        <v>0.343249943655623</v>
      </c>
      <c r="F89" s="5">
        <f t="shared" si="6"/>
        <v>0.61477824400179581</v>
      </c>
      <c r="G89" s="5">
        <f t="shared" si="7"/>
        <v>0.38522175599820419</v>
      </c>
      <c r="H89" s="5">
        <f t="shared" si="8"/>
        <v>0.36423584982691359</v>
      </c>
      <c r="I89" s="5">
        <f t="shared" si="9"/>
        <v>0.38522175599820413</v>
      </c>
      <c r="J89" s="5">
        <v>0.73076923076922995</v>
      </c>
    </row>
    <row r="90" spans="1:10" ht="14.4" x14ac:dyDescent="0.25">
      <c r="A90" s="8" t="s">
        <v>172</v>
      </c>
      <c r="B90" s="4" t="s">
        <v>98</v>
      </c>
      <c r="C90" s="4">
        <v>0.27966530214563501</v>
      </c>
      <c r="D90" s="5">
        <f t="shared" si="5"/>
        <v>0.44711967955445708</v>
      </c>
      <c r="E90" s="5">
        <v>0.36283839970433301</v>
      </c>
      <c r="F90" s="5">
        <f t="shared" si="6"/>
        <v>0.64986217288486758</v>
      </c>
      <c r="G90" s="5">
        <f t="shared" si="7"/>
        <v>0.35013782711513242</v>
      </c>
      <c r="H90" s="5">
        <f t="shared" si="8"/>
        <v>0.35648811340973274</v>
      </c>
      <c r="I90" s="5">
        <f t="shared" si="9"/>
        <v>0.35013782711513258</v>
      </c>
      <c r="J90" s="5">
        <v>0.66666666666666596</v>
      </c>
    </row>
    <row r="91" spans="1:10" ht="14.4" x14ac:dyDescent="0.25">
      <c r="A91" s="8" t="s">
        <v>173</v>
      </c>
      <c r="B91" s="4" t="s">
        <v>99</v>
      </c>
      <c r="C91" s="4">
        <v>0.21540873111961001</v>
      </c>
      <c r="D91" s="5">
        <f t="shared" si="5"/>
        <v>0.29541077169240115</v>
      </c>
      <c r="E91" s="5">
        <v>0.40560268297494501</v>
      </c>
      <c r="F91" s="5">
        <f t="shared" si="6"/>
        <v>0.72645519631003408</v>
      </c>
      <c r="G91" s="5">
        <f t="shared" si="7"/>
        <v>0.27354480368996592</v>
      </c>
      <c r="H91" s="5">
        <f t="shared" si="8"/>
        <v>0.33957374333245549</v>
      </c>
      <c r="I91" s="5">
        <f t="shared" si="9"/>
        <v>0.27354480368996609</v>
      </c>
      <c r="J91" s="5">
        <v>0.66666666666666596</v>
      </c>
    </row>
    <row r="92" spans="1:10" ht="14.4" x14ac:dyDescent="0.25">
      <c r="A92" s="8" t="s">
        <v>174</v>
      </c>
      <c r="B92" s="4" t="s">
        <v>100</v>
      </c>
      <c r="C92" s="4">
        <v>0.32380837627516401</v>
      </c>
      <c r="D92" s="5">
        <f t="shared" si="5"/>
        <v>0.55134088929115876</v>
      </c>
      <c r="E92" s="5">
        <v>0.19711263579188101</v>
      </c>
      <c r="F92" s="5">
        <f t="shared" si="6"/>
        <v>0.35303883465244379</v>
      </c>
      <c r="G92" s="5">
        <f t="shared" si="7"/>
        <v>0.64696116534755621</v>
      </c>
      <c r="H92" s="5">
        <f t="shared" si="8"/>
        <v>0.4220369005697186</v>
      </c>
      <c r="I92" s="5">
        <f t="shared" si="9"/>
        <v>0.6469611653475561</v>
      </c>
      <c r="J92" s="5">
        <v>0.66666666666666596</v>
      </c>
    </row>
    <row r="93" spans="1:10" ht="14.4" x14ac:dyDescent="0.25">
      <c r="A93" s="8" t="s">
        <v>175</v>
      </c>
      <c r="B93" s="4" t="s">
        <v>101</v>
      </c>
      <c r="C93" s="4">
        <v>0.35257341298989198</v>
      </c>
      <c r="D93" s="5">
        <f t="shared" si="5"/>
        <v>0.61925475763056737</v>
      </c>
      <c r="E93" s="5">
        <v>0.27720154565792099</v>
      </c>
      <c r="F93" s="5">
        <f t="shared" si="6"/>
        <v>0.49648217756194979</v>
      </c>
      <c r="G93" s="5">
        <f t="shared" si="7"/>
        <v>0.50351782243805021</v>
      </c>
      <c r="H93" s="5">
        <f t="shared" si="8"/>
        <v>0.3903596840479856</v>
      </c>
      <c r="I93" s="5">
        <f t="shared" si="9"/>
        <v>0.50351782243805021</v>
      </c>
      <c r="J93" s="5">
        <v>0.66666666666666596</v>
      </c>
    </row>
    <row r="94" spans="1:10" ht="14.4" x14ac:dyDescent="0.25">
      <c r="A94" s="8" t="s">
        <v>189</v>
      </c>
      <c r="B94" s="4" t="s">
        <v>102</v>
      </c>
      <c r="C94" s="4">
        <v>0.395317935105792</v>
      </c>
      <c r="D94" s="5">
        <f t="shared" si="5"/>
        <v>0.72017400470122517</v>
      </c>
      <c r="E94" s="5">
        <v>0.351906828042932</v>
      </c>
      <c r="F94" s="5">
        <f t="shared" si="6"/>
        <v>0.6302831676894044</v>
      </c>
      <c r="G94" s="5">
        <f t="shared" si="7"/>
        <v>0.3697168323105956</v>
      </c>
      <c r="H94" s="5">
        <f t="shared" si="8"/>
        <v>0.36081183017676377</v>
      </c>
      <c r="I94" s="5">
        <f t="shared" si="9"/>
        <v>0.36971683231059543</v>
      </c>
      <c r="J94" s="5">
        <v>0.97435897435897401</v>
      </c>
    </row>
    <row r="95" spans="1:10" ht="14.4" x14ac:dyDescent="0.25">
      <c r="A95" s="8" t="s">
        <v>176</v>
      </c>
      <c r="B95" s="4" t="s">
        <v>103</v>
      </c>
      <c r="C95" s="4">
        <v>0.25301260659417402</v>
      </c>
      <c r="D95" s="5">
        <f t="shared" si="5"/>
        <v>0.38419302055090776</v>
      </c>
      <c r="E95" s="5">
        <v>0.37536629170999097</v>
      </c>
      <c r="F95" s="5">
        <f t="shared" si="6"/>
        <v>0.67230026964391532</v>
      </c>
      <c r="G95" s="5">
        <f t="shared" si="7"/>
        <v>0.32769973035608468</v>
      </c>
      <c r="H95" s="5">
        <f t="shared" si="8"/>
        <v>0.3515330110330378</v>
      </c>
      <c r="I95" s="5">
        <f t="shared" si="9"/>
        <v>0.32769973035608457</v>
      </c>
      <c r="J95" s="5">
        <v>0.66666666666666596</v>
      </c>
    </row>
    <row r="98" spans="3:8" x14ac:dyDescent="0.25">
      <c r="C98" s="4" t="s">
        <v>8</v>
      </c>
      <c r="E98" s="4" t="s">
        <v>8</v>
      </c>
      <c r="H98" s="4" t="s">
        <v>8</v>
      </c>
    </row>
    <row r="99" spans="3:8" x14ac:dyDescent="0.25">
      <c r="C99" s="3">
        <f>MIN(C2:C95)</f>
        <v>9.0286986453400705E-2</v>
      </c>
      <c r="D99" s="3"/>
      <c r="E99" s="3">
        <f>MIN(E2:E95)</f>
        <v>0</v>
      </c>
      <c r="H99" s="3">
        <f>MIN(H2:H95)</f>
        <v>0.27916565607567301</v>
      </c>
    </row>
    <row r="100" spans="3:8" x14ac:dyDescent="0.25">
      <c r="C100" s="4" t="s">
        <v>9</v>
      </c>
      <c r="E100" s="4" t="s">
        <v>9</v>
      </c>
      <c r="H100" s="4" t="s">
        <v>9</v>
      </c>
    </row>
    <row r="101" spans="3:8" x14ac:dyDescent="0.25">
      <c r="C101" s="3">
        <f>MAX(C2:C95)</f>
        <v>0.51383872070259495</v>
      </c>
      <c r="D101" s="3"/>
      <c r="E101" s="3">
        <f>MAX(E2:E95)</f>
        <v>0.55833131215134602</v>
      </c>
      <c r="F101" s="3"/>
      <c r="G101" s="3"/>
      <c r="H101" s="3">
        <f>MAX(H2:H95)</f>
        <v>0.5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5C00-19C5-44F7-9459-50D841163F0F}">
  <dimension ref="A1:Q101"/>
  <sheetViews>
    <sheetView tabSelected="1" workbookViewId="0">
      <selection activeCell="K1" sqref="K1:K1048576"/>
    </sheetView>
  </sheetViews>
  <sheetFormatPr defaultColWidth="8.77734375" defaultRowHeight="13.8" x14ac:dyDescent="0.25"/>
  <cols>
    <col min="1" max="1" width="36.5546875" style="4" customWidth="1"/>
    <col min="2" max="3" width="8.77734375" style="6"/>
    <col min="4" max="4" width="13.88671875" style="6" customWidth="1"/>
    <col min="5" max="5" width="8.77734375" style="6"/>
    <col min="6" max="6" width="14.5546875" style="6" customWidth="1"/>
    <col min="7" max="7" width="13.88671875" style="6" customWidth="1"/>
    <col min="8" max="8" width="16.44140625" style="6" customWidth="1"/>
    <col min="9" max="9" width="14.88671875" style="6" customWidth="1"/>
    <col min="10" max="10" width="8.77734375" style="6"/>
    <col min="11" max="11" width="13.109375" style="4" customWidth="1"/>
    <col min="12" max="16384" width="8.77734375" style="6"/>
  </cols>
  <sheetData>
    <row r="1" spans="1:17" s="4" customFormat="1" x14ac:dyDescent="0.25">
      <c r="C1" s="10" t="s">
        <v>190</v>
      </c>
      <c r="D1" s="10" t="s">
        <v>191</v>
      </c>
      <c r="E1" s="10" t="s">
        <v>192</v>
      </c>
      <c r="F1" s="10" t="s">
        <v>193</v>
      </c>
      <c r="G1" s="10" t="s">
        <v>194</v>
      </c>
      <c r="H1" s="4" t="s">
        <v>195</v>
      </c>
      <c r="I1" s="4" t="s">
        <v>196</v>
      </c>
      <c r="J1" s="10" t="s">
        <v>197</v>
      </c>
    </row>
    <row r="2" spans="1:17" x14ac:dyDescent="0.25">
      <c r="A2" s="8" t="s">
        <v>0</v>
      </c>
      <c r="B2" s="4" t="s">
        <v>7</v>
      </c>
      <c r="C2" s="4">
        <v>0.512360647878357</v>
      </c>
      <c r="D2" s="3">
        <f>(C2-$C$99)/($C$101-$C$99)</f>
        <v>0.92604474857353125</v>
      </c>
      <c r="E2" s="3">
        <v>0.27087872185911399</v>
      </c>
      <c r="F2" s="3">
        <f>(E2-$E$99)/($E$101-$E$99)</f>
        <v>0.42770324504070656</v>
      </c>
      <c r="G2" s="3">
        <f>1-F2</f>
        <v>0.57229675495929344</v>
      </c>
      <c r="H2" s="3">
        <f>(E2+G2)/2</f>
        <v>0.42158773840920372</v>
      </c>
      <c r="I2" s="3">
        <f>(H2-$H$99)/($H$101-$H$99)</f>
        <v>0.57229675495929344</v>
      </c>
      <c r="J2" s="3">
        <v>0.8</v>
      </c>
      <c r="K2" s="4">
        <v>19</v>
      </c>
    </row>
    <row r="3" spans="1:17" ht="14.4" x14ac:dyDescent="0.25">
      <c r="A3" s="8" t="s">
        <v>177</v>
      </c>
      <c r="B3" s="4" t="s">
        <v>11</v>
      </c>
      <c r="C3" s="4">
        <v>0.378114724075863</v>
      </c>
      <c r="D3" s="3">
        <f t="shared" ref="D3:D66" si="0">(C3-$C$99)/($C$101-$C$99)</f>
        <v>0.63144272414628244</v>
      </c>
      <c r="E3" s="3">
        <v>0.29032258064516098</v>
      </c>
      <c r="F3" s="3">
        <f t="shared" ref="F3:F66" si="1">(E3-$E$99)/($E$101-$E$99)</f>
        <v>0.45840407470288602</v>
      </c>
      <c r="G3" s="3">
        <f t="shared" ref="G3:G66" si="2">1-F3</f>
        <v>0.54159592529711398</v>
      </c>
      <c r="H3" s="3">
        <f t="shared" ref="H3:H66" si="3">(E3+G3)/2</f>
        <v>0.41595925297113745</v>
      </c>
      <c r="I3" s="3">
        <f t="shared" ref="I3:I66" si="4">(H3-$H$99)/($H$101-$H$99)</f>
        <v>0.54159592529711387</v>
      </c>
      <c r="J3" s="3">
        <v>0.66666666666666596</v>
      </c>
      <c r="K3" s="4">
        <v>8</v>
      </c>
    </row>
    <row r="4" spans="1:17" ht="14.4" x14ac:dyDescent="0.25">
      <c r="A4" s="8" t="s">
        <v>104</v>
      </c>
      <c r="B4" s="4" t="s">
        <v>12</v>
      </c>
      <c r="C4" s="4">
        <v>0.37752828963690699</v>
      </c>
      <c r="D4" s="3">
        <f t="shared" si="0"/>
        <v>0.63015579663282972</v>
      </c>
      <c r="E4" s="3">
        <v>0.276552428598554</v>
      </c>
      <c r="F4" s="3">
        <f t="shared" si="1"/>
        <v>0.43666172936613817</v>
      </c>
      <c r="G4" s="3">
        <f t="shared" si="2"/>
        <v>0.56333827063386188</v>
      </c>
      <c r="H4" s="3">
        <f t="shared" si="3"/>
        <v>0.41994534961620794</v>
      </c>
      <c r="I4" s="3">
        <f t="shared" si="4"/>
        <v>0.56333827063386188</v>
      </c>
      <c r="J4" s="3">
        <v>0.66666666666666596</v>
      </c>
      <c r="K4" s="4">
        <v>14</v>
      </c>
    </row>
    <row r="5" spans="1:17" ht="14.4" x14ac:dyDescent="0.25">
      <c r="A5" s="8" t="s">
        <v>105</v>
      </c>
      <c r="B5" s="4" t="s">
        <v>13</v>
      </c>
      <c r="C5" s="4">
        <v>0.35490408859065298</v>
      </c>
      <c r="D5" s="3">
        <f t="shared" si="0"/>
        <v>0.580507097882904</v>
      </c>
      <c r="E5" s="3">
        <v>0.21581670362158101</v>
      </c>
      <c r="F5" s="3">
        <f t="shared" si="1"/>
        <v>0.34076321624460176</v>
      </c>
      <c r="G5" s="3">
        <f t="shared" si="2"/>
        <v>0.65923678375539829</v>
      </c>
      <c r="H5" s="3">
        <f t="shared" si="3"/>
        <v>0.43752674368848965</v>
      </c>
      <c r="I5" s="3">
        <f t="shared" si="4"/>
        <v>0.6592367837553984</v>
      </c>
      <c r="J5" s="3">
        <v>0.66666666666666596</v>
      </c>
      <c r="K5" s="4">
        <v>2</v>
      </c>
    </row>
    <row r="6" spans="1:17" ht="14.4" x14ac:dyDescent="0.25">
      <c r="A6" s="8" t="s">
        <v>106</v>
      </c>
      <c r="B6" s="4" t="s">
        <v>14</v>
      </c>
      <c r="C6" s="4">
        <v>0.37156596822106502</v>
      </c>
      <c r="D6" s="3">
        <f t="shared" si="0"/>
        <v>0.61707151139242866</v>
      </c>
      <c r="E6" s="3">
        <v>0.18019774404679001</v>
      </c>
      <c r="F6" s="3">
        <f t="shared" si="1"/>
        <v>0.28452275375808966</v>
      </c>
      <c r="G6" s="3">
        <f t="shared" si="2"/>
        <v>0.71547724624191034</v>
      </c>
      <c r="H6" s="3">
        <f t="shared" si="3"/>
        <v>0.44783749514435017</v>
      </c>
      <c r="I6" s="3">
        <f t="shared" si="4"/>
        <v>0.71547724624191034</v>
      </c>
      <c r="J6" s="3">
        <v>0.66666666666666596</v>
      </c>
      <c r="K6" s="4">
        <v>14</v>
      </c>
    </row>
    <row r="7" spans="1:17" ht="14.4" x14ac:dyDescent="0.25">
      <c r="A7" s="8" t="s">
        <v>107</v>
      </c>
      <c r="B7" s="4" t="s">
        <v>15</v>
      </c>
      <c r="C7" s="4">
        <v>0.42152213827004098</v>
      </c>
      <c r="D7" s="3">
        <f t="shared" si="0"/>
        <v>0.72670008269052266</v>
      </c>
      <c r="E7" s="3">
        <v>0.25786163522012501</v>
      </c>
      <c r="F7" s="3">
        <f t="shared" si="1"/>
        <v>0.40714995034756601</v>
      </c>
      <c r="G7" s="3">
        <f t="shared" si="2"/>
        <v>0.59285004965243404</v>
      </c>
      <c r="H7" s="3">
        <f t="shared" si="3"/>
        <v>0.42535584243627955</v>
      </c>
      <c r="I7" s="3">
        <f t="shared" si="4"/>
        <v>0.59285004965243437</v>
      </c>
      <c r="J7" s="3">
        <v>0.66666666666666596</v>
      </c>
      <c r="K7" s="4">
        <v>25</v>
      </c>
    </row>
    <row r="8" spans="1:17" ht="14.4" x14ac:dyDescent="0.25">
      <c r="A8" s="8" t="s">
        <v>108</v>
      </c>
      <c r="B8" s="4" t="s">
        <v>16</v>
      </c>
      <c r="C8" s="4">
        <v>0.405460012830554</v>
      </c>
      <c r="D8" s="3">
        <f t="shared" si="0"/>
        <v>0.69145182682512285</v>
      </c>
      <c r="E8" s="3">
        <v>0.19195725351241699</v>
      </c>
      <c r="F8" s="3">
        <f t="shared" si="1"/>
        <v>0.30309040028276385</v>
      </c>
      <c r="G8" s="3">
        <f t="shared" si="2"/>
        <v>0.69690959971723609</v>
      </c>
      <c r="H8" s="3">
        <f t="shared" si="3"/>
        <v>0.44443342661482654</v>
      </c>
      <c r="I8" s="3">
        <f t="shared" si="4"/>
        <v>0.69690959971723598</v>
      </c>
      <c r="J8" s="3">
        <v>0.8</v>
      </c>
      <c r="K8" s="4">
        <v>7</v>
      </c>
    </row>
    <row r="9" spans="1:17" ht="14.4" x14ac:dyDescent="0.25">
      <c r="A9" s="8" t="s">
        <v>109</v>
      </c>
      <c r="B9" s="4" t="s">
        <v>17</v>
      </c>
      <c r="C9" s="4">
        <v>0.34109261720864398</v>
      </c>
      <c r="D9" s="3">
        <f t="shared" si="0"/>
        <v>0.55019789135947084</v>
      </c>
      <c r="E9" s="3">
        <v>0.32187418200855</v>
      </c>
      <c r="F9" s="3">
        <f t="shared" si="1"/>
        <v>0.50822239264507929</v>
      </c>
      <c r="G9" s="3">
        <f t="shared" si="2"/>
        <v>0.49177760735492071</v>
      </c>
      <c r="H9" s="3">
        <f t="shared" si="3"/>
        <v>0.40682589468173536</v>
      </c>
      <c r="I9" s="3">
        <f t="shared" si="4"/>
        <v>0.49177760735492065</v>
      </c>
      <c r="J9" s="3">
        <v>0.8</v>
      </c>
      <c r="K9" s="4">
        <v>7</v>
      </c>
    </row>
    <row r="10" spans="1:17" ht="14.4" x14ac:dyDescent="0.25">
      <c r="A10" s="8" t="s">
        <v>110</v>
      </c>
      <c r="B10" s="4" t="s">
        <v>18</v>
      </c>
      <c r="C10" s="4">
        <v>0.24493833238763099</v>
      </c>
      <c r="D10" s="3">
        <f t="shared" si="0"/>
        <v>0.33918778272257499</v>
      </c>
      <c r="E10" s="3">
        <v>0.52093453620171104</v>
      </c>
      <c r="F10" s="3">
        <f t="shared" si="1"/>
        <v>0.82252821505533369</v>
      </c>
      <c r="G10" s="3">
        <f t="shared" si="2"/>
        <v>0.17747178494466631</v>
      </c>
      <c r="H10" s="3">
        <f t="shared" si="3"/>
        <v>0.34920316057318868</v>
      </c>
      <c r="I10" s="3">
        <f t="shared" si="4"/>
        <v>0.17747178494466631</v>
      </c>
      <c r="J10" s="3">
        <v>0.66666666666666596</v>
      </c>
      <c r="K10" s="4">
        <v>0</v>
      </c>
      <c r="Q10" s="9" t="s">
        <v>10</v>
      </c>
    </row>
    <row r="11" spans="1:17" ht="14.4" x14ac:dyDescent="0.25">
      <c r="A11" s="8" t="s">
        <v>178</v>
      </c>
      <c r="B11" s="4" t="s">
        <v>19</v>
      </c>
      <c r="C11" s="4">
        <v>0.469902328395297</v>
      </c>
      <c r="D11" s="3">
        <f t="shared" si="0"/>
        <v>0.83287017373958017</v>
      </c>
      <c r="E11" s="3">
        <v>0.17663344407530401</v>
      </c>
      <c r="F11" s="3">
        <f t="shared" si="1"/>
        <v>0.27889491169784858</v>
      </c>
      <c r="G11" s="3">
        <f t="shared" si="2"/>
        <v>0.72110508830215148</v>
      </c>
      <c r="H11" s="3">
        <f t="shared" si="3"/>
        <v>0.44886926618872774</v>
      </c>
      <c r="I11" s="3">
        <f t="shared" si="4"/>
        <v>0.72110508830215159</v>
      </c>
      <c r="J11" s="3">
        <v>0.90909090909090895</v>
      </c>
      <c r="K11" s="4">
        <v>94</v>
      </c>
    </row>
    <row r="12" spans="1:17" ht="14.4" x14ac:dyDescent="0.25">
      <c r="A12" s="8" t="s">
        <v>179</v>
      </c>
      <c r="B12" s="4" t="s">
        <v>20</v>
      </c>
      <c r="C12" s="4">
        <v>0.42301604759221501</v>
      </c>
      <c r="D12" s="3">
        <f t="shared" si="0"/>
        <v>0.7299784594051163</v>
      </c>
      <c r="E12" s="3">
        <v>0.277968316184876</v>
      </c>
      <c r="F12" s="3">
        <f t="shared" si="1"/>
        <v>0.43889734134454128</v>
      </c>
      <c r="G12" s="3">
        <f t="shared" si="2"/>
        <v>0.56110265865545872</v>
      </c>
      <c r="H12" s="3">
        <f t="shared" si="3"/>
        <v>0.41953548742016733</v>
      </c>
      <c r="I12" s="3">
        <f t="shared" si="4"/>
        <v>0.56110265865545861</v>
      </c>
      <c r="J12" s="3">
        <v>0.95454545454545403</v>
      </c>
      <c r="K12" s="4">
        <v>84</v>
      </c>
      <c r="P12" s="4"/>
    </row>
    <row r="13" spans="1:17" ht="14.4" x14ac:dyDescent="0.25">
      <c r="A13" s="8" t="s">
        <v>111</v>
      </c>
      <c r="B13" s="4" t="s">
        <v>21</v>
      </c>
      <c r="C13" s="4">
        <v>0.26051770515247402</v>
      </c>
      <c r="D13" s="3">
        <f t="shared" si="0"/>
        <v>0.37337664020015471</v>
      </c>
      <c r="E13" s="3">
        <v>0.32962275819418602</v>
      </c>
      <c r="F13" s="3">
        <f t="shared" si="1"/>
        <v>0.52045698662239925</v>
      </c>
      <c r="G13" s="3">
        <f t="shared" si="2"/>
        <v>0.47954301337760075</v>
      </c>
      <c r="H13" s="3">
        <f t="shared" si="3"/>
        <v>0.40458288578589341</v>
      </c>
      <c r="I13" s="3">
        <f t="shared" si="4"/>
        <v>0.47954301337760091</v>
      </c>
      <c r="J13" s="3">
        <v>0.66666666666666596</v>
      </c>
      <c r="K13" s="4">
        <v>2</v>
      </c>
    </row>
    <row r="14" spans="1:17" ht="14.4" x14ac:dyDescent="0.25">
      <c r="A14" s="8" t="s">
        <v>112</v>
      </c>
      <c r="B14" s="4" t="s">
        <v>22</v>
      </c>
      <c r="C14" s="4">
        <v>0.377470533573115</v>
      </c>
      <c r="D14" s="3">
        <f t="shared" si="0"/>
        <v>0.63002905123278985</v>
      </c>
      <c r="E14" s="3">
        <v>0.15641711229946501</v>
      </c>
      <c r="F14" s="3">
        <f t="shared" si="1"/>
        <v>0.24697438784126069</v>
      </c>
      <c r="G14" s="3">
        <f t="shared" si="2"/>
        <v>0.75302561215873931</v>
      </c>
      <c r="H14" s="3">
        <f t="shared" si="3"/>
        <v>0.45472136222910214</v>
      </c>
      <c r="I14" s="3">
        <f t="shared" si="4"/>
        <v>0.7530256121587392</v>
      </c>
      <c r="J14" s="3">
        <v>0.66666666666666596</v>
      </c>
      <c r="K14" s="4">
        <v>0</v>
      </c>
    </row>
    <row r="15" spans="1:17" ht="14.4" x14ac:dyDescent="0.25">
      <c r="A15" s="8" t="s">
        <v>113</v>
      </c>
      <c r="B15" s="4" t="s">
        <v>23</v>
      </c>
      <c r="C15" s="4">
        <v>0.40072657819455598</v>
      </c>
      <c r="D15" s="3">
        <f t="shared" si="0"/>
        <v>0.68106432762395031</v>
      </c>
      <c r="E15" s="3">
        <v>0.187455954897815</v>
      </c>
      <c r="F15" s="3">
        <f t="shared" si="1"/>
        <v>0.29598308668076068</v>
      </c>
      <c r="G15" s="3">
        <f t="shared" si="2"/>
        <v>0.70401691331923932</v>
      </c>
      <c r="H15" s="3">
        <f t="shared" si="3"/>
        <v>0.44573643410852715</v>
      </c>
      <c r="I15" s="3">
        <f t="shared" si="4"/>
        <v>0.70401691331923932</v>
      </c>
      <c r="J15" s="3">
        <v>0.66666666666666596</v>
      </c>
      <c r="K15" s="4">
        <v>2</v>
      </c>
    </row>
    <row r="16" spans="1:17" ht="14.4" x14ac:dyDescent="0.25">
      <c r="A16" s="8" t="s">
        <v>114</v>
      </c>
      <c r="B16" s="4" t="s">
        <v>24</v>
      </c>
      <c r="C16" s="4">
        <v>0.35513318958386098</v>
      </c>
      <c r="D16" s="3">
        <f t="shared" si="0"/>
        <v>0.5810098588940813</v>
      </c>
      <c r="E16" s="3">
        <v>0.27456747665806802</v>
      </c>
      <c r="F16" s="3">
        <f t="shared" si="1"/>
        <v>0.43352759472326552</v>
      </c>
      <c r="G16" s="3">
        <f t="shared" si="2"/>
        <v>0.56647240527673448</v>
      </c>
      <c r="H16" s="3">
        <f t="shared" si="3"/>
        <v>0.42051994096740125</v>
      </c>
      <c r="I16" s="3">
        <f t="shared" si="4"/>
        <v>0.56647240527673448</v>
      </c>
      <c r="J16" s="3">
        <v>0.96875</v>
      </c>
      <c r="K16" s="4">
        <v>151</v>
      </c>
    </row>
    <row r="17" spans="1:11" ht="14.4" x14ac:dyDescent="0.25">
      <c r="A17" s="8" t="s">
        <v>115</v>
      </c>
      <c r="B17" s="4" t="s">
        <v>25</v>
      </c>
      <c r="C17" s="4">
        <v>0.37126231012251598</v>
      </c>
      <c r="D17" s="3">
        <f t="shared" si="0"/>
        <v>0.61640513517755091</v>
      </c>
      <c r="E17" s="3">
        <v>0.21216573611519199</v>
      </c>
      <c r="F17" s="3">
        <f t="shared" si="1"/>
        <v>0.33499853070819807</v>
      </c>
      <c r="G17" s="3">
        <f t="shared" si="2"/>
        <v>0.66500146929180193</v>
      </c>
      <c r="H17" s="3">
        <f t="shared" si="3"/>
        <v>0.43858360270349694</v>
      </c>
      <c r="I17" s="3">
        <f t="shared" si="4"/>
        <v>0.66500146929180182</v>
      </c>
      <c r="J17" s="3">
        <v>0.66666666666666596</v>
      </c>
      <c r="K17" s="4">
        <v>5</v>
      </c>
    </row>
    <row r="18" spans="1:11" ht="14.4" x14ac:dyDescent="0.25">
      <c r="A18" s="8" t="s">
        <v>116</v>
      </c>
      <c r="B18" s="4" t="s">
        <v>26</v>
      </c>
      <c r="C18" s="4">
        <v>0.36984727063786299</v>
      </c>
      <c r="D18" s="3">
        <f t="shared" si="0"/>
        <v>0.61329983793637299</v>
      </c>
      <c r="E18" s="3">
        <v>0.277968316184876</v>
      </c>
      <c r="F18" s="3">
        <f t="shared" si="1"/>
        <v>0.43889734134454128</v>
      </c>
      <c r="G18" s="3">
        <f t="shared" si="2"/>
        <v>0.56110265865545872</v>
      </c>
      <c r="H18" s="3">
        <f t="shared" si="3"/>
        <v>0.41953548742016733</v>
      </c>
      <c r="I18" s="3">
        <f t="shared" si="4"/>
        <v>0.56110265865545861</v>
      </c>
      <c r="J18" s="3">
        <v>0.83333333333333304</v>
      </c>
      <c r="K18" s="4">
        <v>10</v>
      </c>
    </row>
    <row r="19" spans="1:11" ht="14.4" x14ac:dyDescent="0.25">
      <c r="A19" s="8" t="s">
        <v>117</v>
      </c>
      <c r="B19" s="4" t="s">
        <v>27</v>
      </c>
      <c r="C19" s="4">
        <v>0.45284811546359499</v>
      </c>
      <c r="D19" s="3">
        <f t="shared" si="0"/>
        <v>0.79544478671565444</v>
      </c>
      <c r="E19" s="3">
        <v>0.23182863735183101</v>
      </c>
      <c r="F19" s="3">
        <f t="shared" si="1"/>
        <v>0.36604521687131236</v>
      </c>
      <c r="G19" s="3">
        <f t="shared" si="2"/>
        <v>0.63395478312868758</v>
      </c>
      <c r="H19" s="3">
        <f t="shared" si="3"/>
        <v>0.4328917102402593</v>
      </c>
      <c r="I19" s="3">
        <f t="shared" si="4"/>
        <v>0.63395478312868747</v>
      </c>
      <c r="J19" s="3">
        <v>0.66666666666666596</v>
      </c>
      <c r="K19" s="4">
        <v>0</v>
      </c>
    </row>
    <row r="20" spans="1:11" ht="14.4" x14ac:dyDescent="0.25">
      <c r="A20" s="8" t="s">
        <v>118</v>
      </c>
      <c r="B20" s="4" t="s">
        <v>28</v>
      </c>
      <c r="C20" s="4">
        <v>0.37115853771914298</v>
      </c>
      <c r="D20" s="3">
        <f t="shared" si="0"/>
        <v>0.61617740714494151</v>
      </c>
      <c r="E20" s="3">
        <v>0.18118466898954699</v>
      </c>
      <c r="F20" s="3">
        <f t="shared" si="1"/>
        <v>0.28608105629928487</v>
      </c>
      <c r="G20" s="3">
        <f t="shared" si="2"/>
        <v>0.71391894370071518</v>
      </c>
      <c r="H20" s="3">
        <f t="shared" si="3"/>
        <v>0.44755180634513109</v>
      </c>
      <c r="I20" s="3">
        <f t="shared" si="4"/>
        <v>0.71391894370071529</v>
      </c>
      <c r="J20" s="3">
        <v>0.66666666666666596</v>
      </c>
      <c r="K20" s="4">
        <v>0</v>
      </c>
    </row>
    <row r="21" spans="1:11" ht="14.4" x14ac:dyDescent="0.25">
      <c r="A21" s="8" t="s">
        <v>119</v>
      </c>
      <c r="B21" s="4" t="s">
        <v>29</v>
      </c>
      <c r="C21" s="4">
        <v>0.38789641331916502</v>
      </c>
      <c r="D21" s="3">
        <f t="shared" si="0"/>
        <v>0.65290859343878072</v>
      </c>
      <c r="E21" s="3">
        <v>0.22416891284815799</v>
      </c>
      <c r="F21" s="3">
        <f t="shared" si="1"/>
        <v>0.35395091502340753</v>
      </c>
      <c r="G21" s="3">
        <f t="shared" si="2"/>
        <v>0.64604908497659252</v>
      </c>
      <c r="H21" s="3">
        <f t="shared" si="3"/>
        <v>0.43510899891237526</v>
      </c>
      <c r="I21" s="3">
        <f t="shared" si="4"/>
        <v>0.64604908497659264</v>
      </c>
      <c r="J21" s="3">
        <v>0.91758241758241699</v>
      </c>
      <c r="K21" s="4">
        <v>1196</v>
      </c>
    </row>
    <row r="22" spans="1:11" ht="14.4" x14ac:dyDescent="0.25">
      <c r="A22" s="8" t="s">
        <v>120</v>
      </c>
      <c r="B22" s="4" t="s">
        <v>30</v>
      </c>
      <c r="C22" s="4">
        <v>0.37334344601339298</v>
      </c>
      <c r="D22" s="3">
        <f t="shared" si="0"/>
        <v>0.62097217773045987</v>
      </c>
      <c r="E22" s="3">
        <v>0.26686315186255</v>
      </c>
      <c r="F22" s="3">
        <f t="shared" si="1"/>
        <v>0.4213628713619213</v>
      </c>
      <c r="G22" s="3">
        <f t="shared" si="2"/>
        <v>0.5786371286380787</v>
      </c>
      <c r="H22" s="3">
        <f t="shared" si="3"/>
        <v>0.42275014025031432</v>
      </c>
      <c r="I22" s="3">
        <f t="shared" si="4"/>
        <v>0.57863712863807848</v>
      </c>
      <c r="J22" s="3">
        <v>0.92682926829268297</v>
      </c>
      <c r="K22" s="4">
        <v>189</v>
      </c>
    </row>
    <row r="23" spans="1:11" ht="14.4" x14ac:dyDescent="0.25">
      <c r="A23" s="8" t="s">
        <v>121</v>
      </c>
      <c r="B23" s="4" t="s">
        <v>31</v>
      </c>
      <c r="C23" s="4">
        <v>0.37185260356040301</v>
      </c>
      <c r="D23" s="3">
        <f t="shared" si="0"/>
        <v>0.61770053124531887</v>
      </c>
      <c r="E23" s="3">
        <v>0.25004883003242301</v>
      </c>
      <c r="F23" s="3">
        <f t="shared" si="1"/>
        <v>0.3948139421564576</v>
      </c>
      <c r="G23" s="3">
        <f t="shared" si="2"/>
        <v>0.6051860578435424</v>
      </c>
      <c r="H23" s="3">
        <f t="shared" si="3"/>
        <v>0.42761744393798273</v>
      </c>
      <c r="I23" s="3">
        <f t="shared" si="4"/>
        <v>0.60518605784354262</v>
      </c>
      <c r="J23" s="3">
        <v>0.85714285714285698</v>
      </c>
      <c r="K23" s="4">
        <v>15</v>
      </c>
    </row>
    <row r="24" spans="1:11" ht="14.4" x14ac:dyDescent="0.25">
      <c r="A24" s="8" t="s">
        <v>122</v>
      </c>
      <c r="B24" s="4" t="s">
        <v>32</v>
      </c>
      <c r="C24" s="4">
        <v>0.30093837538027202</v>
      </c>
      <c r="D24" s="3">
        <f t="shared" si="0"/>
        <v>0.46207960369076229</v>
      </c>
      <c r="E24" s="3">
        <v>0.29919433078837399</v>
      </c>
      <c r="F24" s="3">
        <f t="shared" si="1"/>
        <v>0.47241210124480132</v>
      </c>
      <c r="G24" s="3">
        <f t="shared" si="2"/>
        <v>0.52758789875519874</v>
      </c>
      <c r="H24" s="3">
        <f t="shared" si="3"/>
        <v>0.41339111477178636</v>
      </c>
      <c r="I24" s="3">
        <f t="shared" si="4"/>
        <v>0.52758789875519885</v>
      </c>
      <c r="J24" s="3">
        <v>0.66666666666666596</v>
      </c>
      <c r="K24" s="4">
        <v>0</v>
      </c>
    </row>
    <row r="25" spans="1:11" ht="14.4" x14ac:dyDescent="0.25">
      <c r="A25" s="8" t="s">
        <v>123</v>
      </c>
      <c r="B25" s="4" t="s">
        <v>33</v>
      </c>
      <c r="C25" s="4">
        <v>0.35963482698022498</v>
      </c>
      <c r="D25" s="3">
        <f t="shared" si="0"/>
        <v>0.59088868018445706</v>
      </c>
      <c r="E25" s="3">
        <v>0.22193125100982899</v>
      </c>
      <c r="F25" s="3">
        <f t="shared" si="1"/>
        <v>0.35041776475236175</v>
      </c>
      <c r="G25" s="3">
        <f t="shared" si="2"/>
        <v>0.64958223524763825</v>
      </c>
      <c r="H25" s="3">
        <f t="shared" si="3"/>
        <v>0.43575674312873364</v>
      </c>
      <c r="I25" s="3">
        <f t="shared" si="4"/>
        <v>0.64958223524763836</v>
      </c>
      <c r="J25" s="3">
        <v>0.92857142857142805</v>
      </c>
      <c r="K25" s="4">
        <v>63</v>
      </c>
    </row>
    <row r="26" spans="1:11" ht="14.4" x14ac:dyDescent="0.25">
      <c r="A26" s="8" t="s">
        <v>124</v>
      </c>
      <c r="B26" s="4" t="s">
        <v>34</v>
      </c>
      <c r="C26" s="4">
        <v>0.36886040298950401</v>
      </c>
      <c r="D26" s="3">
        <f t="shared" si="0"/>
        <v>0.61113416169970713</v>
      </c>
      <c r="E26" s="3">
        <v>0.25786163522012501</v>
      </c>
      <c r="F26" s="3">
        <f t="shared" si="1"/>
        <v>0.40714995034756601</v>
      </c>
      <c r="G26" s="3">
        <f t="shared" si="2"/>
        <v>0.59285004965243404</v>
      </c>
      <c r="H26" s="3">
        <f t="shared" si="3"/>
        <v>0.42535584243627955</v>
      </c>
      <c r="I26" s="3">
        <f t="shared" si="4"/>
        <v>0.59285004965243437</v>
      </c>
      <c r="J26" s="3">
        <v>0.66666666666666596</v>
      </c>
      <c r="K26" s="4">
        <v>2</v>
      </c>
    </row>
    <row r="27" spans="1:11" ht="14.4" x14ac:dyDescent="0.25">
      <c r="A27" s="8" t="s">
        <v>1</v>
      </c>
      <c r="B27" s="4" t="s">
        <v>35</v>
      </c>
      <c r="C27" s="4">
        <v>0.17068652229946699</v>
      </c>
      <c r="D27" s="3">
        <f t="shared" si="0"/>
        <v>0.17624254796413716</v>
      </c>
      <c r="E27" s="3">
        <v>0.16959064327485299</v>
      </c>
      <c r="F27" s="3">
        <f t="shared" si="1"/>
        <v>0.26777469990766278</v>
      </c>
      <c r="G27" s="3">
        <f t="shared" si="2"/>
        <v>0.73222530009233722</v>
      </c>
      <c r="H27" s="3">
        <f t="shared" si="3"/>
        <v>0.45090797168359509</v>
      </c>
      <c r="I27" s="3">
        <f t="shared" si="4"/>
        <v>0.73222530009233711</v>
      </c>
      <c r="J27" s="3">
        <v>0.71428571428571397</v>
      </c>
      <c r="K27" s="4">
        <v>103</v>
      </c>
    </row>
    <row r="28" spans="1:11" ht="14.4" x14ac:dyDescent="0.25">
      <c r="A28" s="8" t="s">
        <v>125</v>
      </c>
      <c r="B28" s="4" t="s">
        <v>36</v>
      </c>
      <c r="C28" s="4">
        <v>0.37601938204763602</v>
      </c>
      <c r="D28" s="3">
        <f t="shared" si="0"/>
        <v>0.62684450629430988</v>
      </c>
      <c r="E28" s="3">
        <v>0.21216573611519199</v>
      </c>
      <c r="F28" s="3">
        <f t="shared" si="1"/>
        <v>0.33499853070819807</v>
      </c>
      <c r="G28" s="3">
        <f t="shared" si="2"/>
        <v>0.66500146929180193</v>
      </c>
      <c r="H28" s="3">
        <f t="shared" si="3"/>
        <v>0.43858360270349694</v>
      </c>
      <c r="I28" s="3">
        <f t="shared" si="4"/>
        <v>0.66500146929180182</v>
      </c>
      <c r="J28" s="3">
        <v>0.66666666666666596</v>
      </c>
      <c r="K28" s="4">
        <v>1</v>
      </c>
    </row>
    <row r="29" spans="1:11" ht="14.4" x14ac:dyDescent="0.25">
      <c r="A29" s="8" t="s">
        <v>126</v>
      </c>
      <c r="B29" s="4" t="s">
        <v>37</v>
      </c>
      <c r="C29" s="4">
        <v>0.33714576309087002</v>
      </c>
      <c r="D29" s="3">
        <f t="shared" si="0"/>
        <v>0.54153653926563816</v>
      </c>
      <c r="E29" s="3">
        <v>0.16995073891625601</v>
      </c>
      <c r="F29" s="3">
        <f t="shared" si="1"/>
        <v>0.26834327197303598</v>
      </c>
      <c r="G29" s="3">
        <f t="shared" si="2"/>
        <v>0.73165672802696402</v>
      </c>
      <c r="H29" s="3">
        <f t="shared" si="3"/>
        <v>0.45080373347161001</v>
      </c>
      <c r="I29" s="3">
        <f t="shared" si="4"/>
        <v>0.73165672802696402</v>
      </c>
      <c r="J29" s="3">
        <v>0.66666666666666596</v>
      </c>
      <c r="K29" s="4">
        <v>2</v>
      </c>
    </row>
    <row r="30" spans="1:11" ht="14.4" x14ac:dyDescent="0.25">
      <c r="A30" s="8" t="s">
        <v>180</v>
      </c>
      <c r="B30" s="4" t="s">
        <v>38</v>
      </c>
      <c r="C30" s="4">
        <v>0.35557362313831897</v>
      </c>
      <c r="D30" s="3">
        <f t="shared" si="0"/>
        <v>0.58197638817924535</v>
      </c>
      <c r="E30" s="3">
        <v>0.20551924473493099</v>
      </c>
      <c r="F30" s="3">
        <f t="shared" si="1"/>
        <v>0.32450407063410175</v>
      </c>
      <c r="G30" s="3">
        <f t="shared" si="2"/>
        <v>0.6754959293658982</v>
      </c>
      <c r="H30" s="3">
        <f t="shared" si="3"/>
        <v>0.4405075870504146</v>
      </c>
      <c r="I30" s="3">
        <f t="shared" si="4"/>
        <v>0.67549592936589808</v>
      </c>
      <c r="J30" s="3">
        <v>0.83333333333333304</v>
      </c>
      <c r="K30" s="4">
        <v>22</v>
      </c>
    </row>
    <row r="31" spans="1:11" ht="14.4" x14ac:dyDescent="0.25">
      <c r="A31" s="8" t="s">
        <v>127</v>
      </c>
      <c r="B31" s="4" t="s">
        <v>39</v>
      </c>
      <c r="C31" s="4">
        <v>0.36177873018085299</v>
      </c>
      <c r="D31" s="3">
        <f t="shared" si="0"/>
        <v>0.59559346529219925</v>
      </c>
      <c r="E31" s="3">
        <v>0.311489508083935</v>
      </c>
      <c r="F31" s="3">
        <f t="shared" si="1"/>
        <v>0.49182553907989762</v>
      </c>
      <c r="G31" s="3">
        <f t="shared" si="2"/>
        <v>0.50817446092010243</v>
      </c>
      <c r="H31" s="3">
        <f t="shared" si="3"/>
        <v>0.40983198450201874</v>
      </c>
      <c r="I31" s="3">
        <f t="shared" si="4"/>
        <v>0.50817446092010277</v>
      </c>
      <c r="J31" s="3">
        <v>0.95652173913043403</v>
      </c>
      <c r="K31" s="4">
        <v>123</v>
      </c>
    </row>
    <row r="32" spans="1:11" ht="14.4" x14ac:dyDescent="0.25">
      <c r="A32" s="8" t="s">
        <v>128</v>
      </c>
      <c r="B32" s="4" t="s">
        <v>40</v>
      </c>
      <c r="C32" s="4">
        <v>0.339061669656672</v>
      </c>
      <c r="D32" s="3">
        <f t="shared" si="0"/>
        <v>0.54574098687128114</v>
      </c>
      <c r="E32" s="3">
        <v>0.27817707484417797</v>
      </c>
      <c r="F32" s="3">
        <f t="shared" si="1"/>
        <v>0.43922696028028124</v>
      </c>
      <c r="G32" s="3">
        <f t="shared" si="2"/>
        <v>0.56077303971971881</v>
      </c>
      <c r="H32" s="3">
        <f t="shared" si="3"/>
        <v>0.41947505728194839</v>
      </c>
      <c r="I32" s="3">
        <f t="shared" si="4"/>
        <v>0.56077303971971892</v>
      </c>
      <c r="J32" s="3">
        <v>0.66666666666666596</v>
      </c>
      <c r="K32" s="4">
        <v>0</v>
      </c>
    </row>
    <row r="33" spans="1:11" ht="14.4" x14ac:dyDescent="0.25">
      <c r="A33" s="8" t="s">
        <v>129</v>
      </c>
      <c r="B33" s="4" t="s">
        <v>41</v>
      </c>
      <c r="C33" s="4">
        <v>0.34001625507838501</v>
      </c>
      <c r="D33" s="3">
        <f t="shared" si="0"/>
        <v>0.54783581991916663</v>
      </c>
      <c r="E33" s="3">
        <v>0.159663865546218</v>
      </c>
      <c r="F33" s="3">
        <f t="shared" si="1"/>
        <v>0.25210084033613384</v>
      </c>
      <c r="G33" s="3">
        <f t="shared" si="2"/>
        <v>0.74789915966386622</v>
      </c>
      <c r="H33" s="3">
        <f t="shared" si="3"/>
        <v>0.45378151260504213</v>
      </c>
      <c r="I33" s="3">
        <f t="shared" si="4"/>
        <v>0.74789915966386644</v>
      </c>
      <c r="J33" s="3">
        <v>0.66666666666666596</v>
      </c>
      <c r="K33" s="4">
        <v>2</v>
      </c>
    </row>
    <row r="34" spans="1:11" ht="14.4" x14ac:dyDescent="0.25">
      <c r="A34" s="8" t="s">
        <v>130</v>
      </c>
      <c r="B34" s="4" t="s">
        <v>42</v>
      </c>
      <c r="C34" s="4">
        <v>0.30402287999525701</v>
      </c>
      <c r="D34" s="3">
        <f t="shared" si="0"/>
        <v>0.46884853401051391</v>
      </c>
      <c r="E34" s="3">
        <v>0.50384441429217497</v>
      </c>
      <c r="F34" s="3">
        <f t="shared" si="1"/>
        <v>0.79554381204027669</v>
      </c>
      <c r="G34" s="3">
        <f t="shared" si="2"/>
        <v>0.20445618795972331</v>
      </c>
      <c r="H34" s="3">
        <f t="shared" si="3"/>
        <v>0.35415030112594914</v>
      </c>
      <c r="I34" s="3">
        <f t="shared" si="4"/>
        <v>0.20445618795972337</v>
      </c>
      <c r="J34" s="3">
        <v>0.66666666666666596</v>
      </c>
      <c r="K34" s="4">
        <v>0</v>
      </c>
    </row>
    <row r="35" spans="1:11" ht="14.4" x14ac:dyDescent="0.25">
      <c r="A35" s="8" t="s">
        <v>131</v>
      </c>
      <c r="B35" s="4" t="s">
        <v>43</v>
      </c>
      <c r="C35" s="4">
        <v>0.42848021920863699</v>
      </c>
      <c r="D35" s="3">
        <f t="shared" si="0"/>
        <v>0.74196955734254155</v>
      </c>
      <c r="E35" s="3">
        <v>0.24266748996603801</v>
      </c>
      <c r="F35" s="3">
        <f t="shared" si="1"/>
        <v>0.38315919468321813</v>
      </c>
      <c r="G35" s="3">
        <f t="shared" si="2"/>
        <v>0.61684080531678187</v>
      </c>
      <c r="H35" s="3">
        <f t="shared" si="3"/>
        <v>0.42975414764140996</v>
      </c>
      <c r="I35" s="3">
        <f t="shared" si="4"/>
        <v>0.61684080531678198</v>
      </c>
      <c r="J35" s="3">
        <v>0.66666666666666596</v>
      </c>
      <c r="K35" s="4">
        <v>10</v>
      </c>
    </row>
    <row r="36" spans="1:11" ht="14.4" x14ac:dyDescent="0.25">
      <c r="A36" s="8" t="s">
        <v>132</v>
      </c>
      <c r="B36" s="4" t="s">
        <v>44</v>
      </c>
      <c r="C36" s="4">
        <v>0.54606099690716603</v>
      </c>
      <c r="D36" s="3">
        <f t="shared" si="0"/>
        <v>1</v>
      </c>
      <c r="E36" s="3">
        <v>2.3560209424083701E-2</v>
      </c>
      <c r="F36" s="3">
        <f t="shared" si="1"/>
        <v>3.7200330669605867E-2</v>
      </c>
      <c r="G36" s="3">
        <f t="shared" si="2"/>
        <v>0.96279966933039418</v>
      </c>
      <c r="H36" s="3">
        <f t="shared" si="3"/>
        <v>0.49317993937723892</v>
      </c>
      <c r="I36" s="3">
        <f t="shared" si="4"/>
        <v>0.96279966933039418</v>
      </c>
      <c r="J36" s="3">
        <v>0.98201438848920797</v>
      </c>
      <c r="K36" s="4">
        <v>4169</v>
      </c>
    </row>
    <row r="37" spans="1:11" ht="14.4" x14ac:dyDescent="0.25">
      <c r="A37" s="8" t="s">
        <v>2</v>
      </c>
      <c r="B37" s="4" t="s">
        <v>45</v>
      </c>
      <c r="C37" s="4">
        <v>0.34033846291147501</v>
      </c>
      <c r="D37" s="3">
        <f t="shared" si="0"/>
        <v>0.54854290343593914</v>
      </c>
      <c r="E37" s="3">
        <v>0.23532103095928</v>
      </c>
      <c r="F37" s="3">
        <f t="shared" si="1"/>
        <v>0.37155952256728442</v>
      </c>
      <c r="G37" s="3">
        <f t="shared" si="2"/>
        <v>0.62844047743271558</v>
      </c>
      <c r="H37" s="3">
        <f t="shared" si="3"/>
        <v>0.43188075419599781</v>
      </c>
      <c r="I37" s="3">
        <f t="shared" si="4"/>
        <v>0.62844047743271569</v>
      </c>
      <c r="J37" s="3">
        <v>0.66666666666666596</v>
      </c>
      <c r="K37" s="4">
        <v>0</v>
      </c>
    </row>
    <row r="38" spans="1:11" ht="14.4" x14ac:dyDescent="0.25">
      <c r="A38" s="8" t="s">
        <v>133</v>
      </c>
      <c r="B38" s="4" t="s">
        <v>46</v>
      </c>
      <c r="C38" s="4">
        <v>0.37603273909877999</v>
      </c>
      <c r="D38" s="3">
        <f t="shared" si="0"/>
        <v>0.62687381827783939</v>
      </c>
      <c r="E38" s="3">
        <v>0.21216573611519199</v>
      </c>
      <c r="F38" s="3">
        <f t="shared" si="1"/>
        <v>0.33499853070819807</v>
      </c>
      <c r="G38" s="3">
        <f t="shared" si="2"/>
        <v>0.66500146929180193</v>
      </c>
      <c r="H38" s="3">
        <f t="shared" si="3"/>
        <v>0.43858360270349694</v>
      </c>
      <c r="I38" s="3">
        <f t="shared" si="4"/>
        <v>0.66500146929180182</v>
      </c>
      <c r="J38" s="3">
        <v>0.75</v>
      </c>
      <c r="K38" s="4">
        <v>16</v>
      </c>
    </row>
    <row r="39" spans="1:11" ht="14.4" x14ac:dyDescent="0.25">
      <c r="A39" s="8" t="s">
        <v>134</v>
      </c>
      <c r="B39" s="4" t="s">
        <v>47</v>
      </c>
      <c r="C39" s="4">
        <v>0.35048560258592698</v>
      </c>
      <c r="D39" s="3">
        <f t="shared" si="0"/>
        <v>0.57081075191555208</v>
      </c>
      <c r="E39" s="3">
        <v>0</v>
      </c>
      <c r="F39" s="3">
        <f t="shared" si="1"/>
        <v>0</v>
      </c>
      <c r="G39" s="3">
        <f t="shared" si="2"/>
        <v>1</v>
      </c>
      <c r="H39" s="3">
        <f t="shared" si="3"/>
        <v>0.5</v>
      </c>
      <c r="I39" s="3">
        <f t="shared" si="4"/>
        <v>1</v>
      </c>
      <c r="J39" s="3">
        <v>0.66666666666666596</v>
      </c>
      <c r="K39" s="4">
        <v>0</v>
      </c>
    </row>
    <row r="40" spans="1:11" ht="14.4" x14ac:dyDescent="0.25">
      <c r="A40" s="8" t="s">
        <v>135</v>
      </c>
      <c r="B40" s="4" t="s">
        <v>48</v>
      </c>
      <c r="C40" s="4">
        <v>0.400188891814729</v>
      </c>
      <c r="D40" s="3">
        <f t="shared" si="0"/>
        <v>0.67988437748827968</v>
      </c>
      <c r="E40" s="3">
        <v>0.325026325026325</v>
      </c>
      <c r="F40" s="3">
        <f t="shared" si="1"/>
        <v>0.5131994605678819</v>
      </c>
      <c r="G40" s="3">
        <f t="shared" si="2"/>
        <v>0.4868005394321181</v>
      </c>
      <c r="H40" s="3">
        <f t="shared" si="3"/>
        <v>0.40591343222922155</v>
      </c>
      <c r="I40" s="3">
        <f t="shared" si="4"/>
        <v>0.48680053943211804</v>
      </c>
      <c r="J40" s="3">
        <v>0.80769230769230704</v>
      </c>
      <c r="K40" s="4">
        <v>134</v>
      </c>
    </row>
    <row r="41" spans="1:11" ht="14.4" x14ac:dyDescent="0.25">
      <c r="A41" s="8" t="s">
        <v>181</v>
      </c>
      <c r="B41" s="4" t="s">
        <v>49</v>
      </c>
      <c r="C41" s="4">
        <v>0.19084589513234201</v>
      </c>
      <c r="D41" s="3">
        <f t="shared" si="0"/>
        <v>0.22048219323251986</v>
      </c>
      <c r="E41" s="3">
        <v>0.63333333333333297</v>
      </c>
      <c r="F41" s="3">
        <f t="shared" si="1"/>
        <v>1</v>
      </c>
      <c r="G41" s="3">
        <f t="shared" si="2"/>
        <v>0</v>
      </c>
      <c r="H41" s="3">
        <f t="shared" si="3"/>
        <v>0.31666666666666649</v>
      </c>
      <c r="I41" s="3">
        <f t="shared" si="4"/>
        <v>0</v>
      </c>
      <c r="J41" s="3">
        <v>0.66666666666666596</v>
      </c>
      <c r="K41" s="4">
        <v>0</v>
      </c>
    </row>
    <row r="42" spans="1:11" ht="14.4" x14ac:dyDescent="0.25">
      <c r="A42" s="8" t="s">
        <v>182</v>
      </c>
      <c r="B42" s="4" t="s">
        <v>50</v>
      </c>
      <c r="C42" s="4">
        <v>0.30845096165427699</v>
      </c>
      <c r="D42" s="3">
        <f t="shared" si="0"/>
        <v>0.47856593759437022</v>
      </c>
      <c r="E42" s="3">
        <v>0.253544522154378</v>
      </c>
      <c r="F42" s="3">
        <f t="shared" si="1"/>
        <v>0.40033345603322867</v>
      </c>
      <c r="G42" s="3">
        <f t="shared" si="2"/>
        <v>0.59966654396677133</v>
      </c>
      <c r="H42" s="3">
        <f t="shared" si="3"/>
        <v>0.42660553306057469</v>
      </c>
      <c r="I42" s="3">
        <f t="shared" si="4"/>
        <v>0.59966654396677144</v>
      </c>
      <c r="J42" s="3">
        <v>0.66666666666666596</v>
      </c>
      <c r="K42" s="4">
        <v>6</v>
      </c>
    </row>
    <row r="43" spans="1:11" ht="14.4" x14ac:dyDescent="0.25">
      <c r="A43" s="8" t="s">
        <v>3</v>
      </c>
      <c r="B43" s="4" t="s">
        <v>51</v>
      </c>
      <c r="C43" s="4">
        <v>0.41963924661452301</v>
      </c>
      <c r="D43" s="3">
        <f t="shared" si="0"/>
        <v>0.72256808614432688</v>
      </c>
      <c r="E43" s="3">
        <v>0.39866979655711998</v>
      </c>
      <c r="F43" s="3">
        <f t="shared" si="1"/>
        <v>0.62947862614282135</v>
      </c>
      <c r="G43" s="3">
        <f t="shared" si="2"/>
        <v>0.37052137385717865</v>
      </c>
      <c r="H43" s="3">
        <f t="shared" si="3"/>
        <v>0.38459558520714932</v>
      </c>
      <c r="I43" s="3">
        <f t="shared" si="4"/>
        <v>0.3705213738571787</v>
      </c>
      <c r="J43" s="3">
        <v>0.875</v>
      </c>
      <c r="K43" s="4">
        <v>96</v>
      </c>
    </row>
    <row r="44" spans="1:11" ht="14.4" x14ac:dyDescent="0.25">
      <c r="A44" s="8" t="s">
        <v>136</v>
      </c>
      <c r="B44" s="4" t="s">
        <v>52</v>
      </c>
      <c r="C44" s="4">
        <v>0.35679686276122502</v>
      </c>
      <c r="D44" s="3">
        <f t="shared" si="0"/>
        <v>0.58466078156014178</v>
      </c>
      <c r="E44" s="3">
        <v>0.24520133954096199</v>
      </c>
      <c r="F44" s="3">
        <f t="shared" si="1"/>
        <v>0.38716000980151916</v>
      </c>
      <c r="G44" s="3">
        <f t="shared" si="2"/>
        <v>0.6128399901984809</v>
      </c>
      <c r="H44" s="3">
        <f t="shared" si="3"/>
        <v>0.42902066486972146</v>
      </c>
      <c r="I44" s="3">
        <f t="shared" si="4"/>
        <v>0.61283999019848101</v>
      </c>
      <c r="J44" s="3">
        <v>0.9</v>
      </c>
      <c r="K44" s="4">
        <v>81</v>
      </c>
    </row>
    <row r="45" spans="1:11" ht="14.4" x14ac:dyDescent="0.25">
      <c r="A45" s="8" t="s">
        <v>137</v>
      </c>
      <c r="B45" s="4" t="s">
        <v>53</v>
      </c>
      <c r="C45" s="4">
        <v>0.355365703830133</v>
      </c>
      <c r="D45" s="3">
        <f t="shared" si="0"/>
        <v>0.58152011027244488</v>
      </c>
      <c r="E45" s="3">
        <v>0.25</v>
      </c>
      <c r="F45" s="3">
        <f t="shared" si="1"/>
        <v>0.39473684210526339</v>
      </c>
      <c r="G45" s="3">
        <f t="shared" si="2"/>
        <v>0.60526315789473661</v>
      </c>
      <c r="H45" s="3">
        <f t="shared" si="3"/>
        <v>0.42763157894736831</v>
      </c>
      <c r="I45" s="3">
        <f t="shared" si="4"/>
        <v>0.60526315789473661</v>
      </c>
      <c r="J45" s="3">
        <v>0.92857142857142805</v>
      </c>
      <c r="K45" s="4">
        <v>257</v>
      </c>
    </row>
    <row r="46" spans="1:11" ht="14.4" x14ac:dyDescent="0.25">
      <c r="A46" s="8" t="s">
        <v>183</v>
      </c>
      <c r="B46" s="4" t="s">
        <v>54</v>
      </c>
      <c r="C46" s="4">
        <v>0.37562029109561901</v>
      </c>
      <c r="D46" s="3">
        <f t="shared" si="0"/>
        <v>0.6259687031483776</v>
      </c>
      <c r="E46" s="3">
        <v>0.22026251025430599</v>
      </c>
      <c r="F46" s="3">
        <f t="shared" si="1"/>
        <v>0.34778291092785174</v>
      </c>
      <c r="G46" s="3">
        <f t="shared" si="2"/>
        <v>0.65221708907214826</v>
      </c>
      <c r="H46" s="3">
        <f t="shared" si="3"/>
        <v>0.43623979966322712</v>
      </c>
      <c r="I46" s="3">
        <f t="shared" si="4"/>
        <v>0.65221708907214826</v>
      </c>
      <c r="J46" s="3">
        <v>0.66666666666666596</v>
      </c>
      <c r="K46" s="4">
        <v>7</v>
      </c>
    </row>
    <row r="47" spans="1:11" ht="14.4" x14ac:dyDescent="0.25">
      <c r="A47" s="8" t="s">
        <v>138</v>
      </c>
      <c r="B47" s="4" t="s">
        <v>55</v>
      </c>
      <c r="C47" s="4">
        <v>0.37703360627128102</v>
      </c>
      <c r="D47" s="3">
        <f t="shared" si="0"/>
        <v>0.62907021640189253</v>
      </c>
      <c r="E47" s="3">
        <v>0.26627930274493999</v>
      </c>
      <c r="F47" s="3">
        <f t="shared" si="1"/>
        <v>0.42044100433411602</v>
      </c>
      <c r="G47" s="3">
        <f t="shared" si="2"/>
        <v>0.57955899566588398</v>
      </c>
      <c r="H47" s="3">
        <f t="shared" si="3"/>
        <v>0.42291914920541196</v>
      </c>
      <c r="I47" s="3">
        <f t="shared" si="4"/>
        <v>0.57955899566588387</v>
      </c>
      <c r="J47" s="3">
        <v>0.91249999999999998</v>
      </c>
      <c r="K47" s="4">
        <v>515</v>
      </c>
    </row>
    <row r="48" spans="1:11" ht="14.4" x14ac:dyDescent="0.25">
      <c r="A48" s="8" t="s">
        <v>139</v>
      </c>
      <c r="B48" s="4" t="s">
        <v>56</v>
      </c>
      <c r="C48" s="4">
        <v>0.31391139183946198</v>
      </c>
      <c r="D48" s="3">
        <f t="shared" si="0"/>
        <v>0.49054882497921071</v>
      </c>
      <c r="E48" s="3">
        <v>0.22438119060145201</v>
      </c>
      <c r="F48" s="3">
        <f t="shared" si="1"/>
        <v>0.35428609042334547</v>
      </c>
      <c r="G48" s="3">
        <f t="shared" si="2"/>
        <v>0.64571390957665453</v>
      </c>
      <c r="H48" s="3">
        <f t="shared" si="3"/>
        <v>0.43504755008905327</v>
      </c>
      <c r="I48" s="3">
        <f t="shared" si="4"/>
        <v>0.64571390957665453</v>
      </c>
      <c r="J48" s="3">
        <v>0.83333333333333304</v>
      </c>
      <c r="K48" s="4">
        <v>10</v>
      </c>
    </row>
    <row r="49" spans="1:11" ht="14.4" x14ac:dyDescent="0.25">
      <c r="A49" s="8" t="s">
        <v>140</v>
      </c>
      <c r="B49" s="4" t="s">
        <v>57</v>
      </c>
      <c r="C49" s="4">
        <v>0.34091687679326799</v>
      </c>
      <c r="D49" s="3">
        <f t="shared" si="0"/>
        <v>0.54981222987585199</v>
      </c>
      <c r="E49" s="3">
        <v>0.23849693251533699</v>
      </c>
      <c r="F49" s="3">
        <f t="shared" si="1"/>
        <v>0.37657410397158492</v>
      </c>
      <c r="G49" s="3">
        <f t="shared" si="2"/>
        <v>0.62342589602841514</v>
      </c>
      <c r="H49" s="3">
        <f t="shared" si="3"/>
        <v>0.43096141427187606</v>
      </c>
      <c r="I49" s="3">
        <f t="shared" si="4"/>
        <v>0.62342589602841525</v>
      </c>
      <c r="J49" s="3">
        <v>0.66666666666666596</v>
      </c>
      <c r="K49" s="4">
        <v>1</v>
      </c>
    </row>
    <row r="50" spans="1:11" ht="14.4" x14ac:dyDescent="0.25">
      <c r="A50" s="8" t="s">
        <v>141</v>
      </c>
      <c r="B50" s="4" t="s">
        <v>58</v>
      </c>
      <c r="C50" s="4">
        <v>0.30110852028724699</v>
      </c>
      <c r="D50" s="3">
        <f t="shared" si="0"/>
        <v>0.46245298585851108</v>
      </c>
      <c r="E50" s="3">
        <v>0.37044163889801401</v>
      </c>
      <c r="F50" s="3">
        <f t="shared" si="1"/>
        <v>0.58490785089160136</v>
      </c>
      <c r="G50" s="3">
        <f t="shared" si="2"/>
        <v>0.41509214910839864</v>
      </c>
      <c r="H50" s="3">
        <f t="shared" si="3"/>
        <v>0.3927668940032063</v>
      </c>
      <c r="I50" s="3">
        <f t="shared" si="4"/>
        <v>0.41509214910839859</v>
      </c>
      <c r="J50" s="3">
        <v>0.66666666666666596</v>
      </c>
      <c r="K50" s="4">
        <v>0</v>
      </c>
    </row>
    <row r="51" spans="1:11" ht="14.4" x14ac:dyDescent="0.25">
      <c r="A51" s="8" t="s">
        <v>142</v>
      </c>
      <c r="B51" s="4" t="s">
        <v>59</v>
      </c>
      <c r="C51" s="4">
        <v>0.40081546605280699</v>
      </c>
      <c r="D51" s="3">
        <f t="shared" si="0"/>
        <v>0.6812593915949523</v>
      </c>
      <c r="E51" s="3">
        <v>0.2196935891715</v>
      </c>
      <c r="F51" s="3">
        <f t="shared" si="1"/>
        <v>0.34688461448131597</v>
      </c>
      <c r="G51" s="3">
        <f t="shared" si="2"/>
        <v>0.65311538551868398</v>
      </c>
      <c r="H51" s="3">
        <f t="shared" si="3"/>
        <v>0.43640448734509196</v>
      </c>
      <c r="I51" s="3">
        <f t="shared" si="4"/>
        <v>0.65311538551868376</v>
      </c>
      <c r="J51" s="3">
        <v>0.66666666666666596</v>
      </c>
      <c r="K51" s="4">
        <v>2</v>
      </c>
    </row>
    <row r="52" spans="1:11" ht="14.4" x14ac:dyDescent="0.25">
      <c r="A52" s="8" t="s">
        <v>143</v>
      </c>
      <c r="B52" s="4" t="s">
        <v>60</v>
      </c>
      <c r="C52" s="4">
        <v>0.36511801527266802</v>
      </c>
      <c r="D52" s="3">
        <f t="shared" si="0"/>
        <v>0.60292151012457551</v>
      </c>
      <c r="E52" s="3">
        <v>0.27859477124183002</v>
      </c>
      <c r="F52" s="3">
        <f t="shared" si="1"/>
        <v>0.43988648090815291</v>
      </c>
      <c r="G52" s="3">
        <f t="shared" si="2"/>
        <v>0.56011351909184715</v>
      </c>
      <c r="H52" s="3">
        <f t="shared" si="3"/>
        <v>0.41935414516683855</v>
      </c>
      <c r="I52" s="3">
        <f t="shared" si="4"/>
        <v>0.56011351909184715</v>
      </c>
      <c r="J52" s="3">
        <v>0.66666666666666596</v>
      </c>
      <c r="K52" s="4">
        <v>14</v>
      </c>
    </row>
    <row r="53" spans="1:11" ht="14.4" x14ac:dyDescent="0.25">
      <c r="A53" s="8" t="s">
        <v>144</v>
      </c>
      <c r="B53" s="4" t="s">
        <v>61</v>
      </c>
      <c r="C53" s="4">
        <v>0.31024823237784699</v>
      </c>
      <c r="D53" s="3">
        <f t="shared" si="0"/>
        <v>0.48251003942338766</v>
      </c>
      <c r="E53" s="3">
        <v>0.30603471798259002</v>
      </c>
      <c r="F53" s="3">
        <f t="shared" si="1"/>
        <v>0.48321271260408977</v>
      </c>
      <c r="G53" s="3">
        <f t="shared" si="2"/>
        <v>0.51678728739591029</v>
      </c>
      <c r="H53" s="3">
        <f t="shared" si="3"/>
        <v>0.41141100268925013</v>
      </c>
      <c r="I53" s="3">
        <f t="shared" si="4"/>
        <v>0.51678728739591029</v>
      </c>
      <c r="J53" s="3">
        <v>0.66666666666666596</v>
      </c>
      <c r="K53" s="4">
        <v>0</v>
      </c>
    </row>
    <row r="54" spans="1:11" ht="14.4" x14ac:dyDescent="0.25">
      <c r="A54" s="8" t="s">
        <v>145</v>
      </c>
      <c r="B54" s="4" t="s">
        <v>62</v>
      </c>
      <c r="C54" s="4">
        <v>0.32423474614443698</v>
      </c>
      <c r="D54" s="3">
        <f t="shared" si="0"/>
        <v>0.51320337560526763</v>
      </c>
      <c r="E54" s="3">
        <v>0.123595505617977</v>
      </c>
      <c r="F54" s="3">
        <f t="shared" si="1"/>
        <v>0.19515079834417431</v>
      </c>
      <c r="G54" s="3">
        <f t="shared" si="2"/>
        <v>0.80484920165582574</v>
      </c>
      <c r="H54" s="3">
        <f t="shared" si="3"/>
        <v>0.46422235363690134</v>
      </c>
      <c r="I54" s="3">
        <f t="shared" si="4"/>
        <v>0.80484920165582574</v>
      </c>
      <c r="J54" s="3">
        <v>8.6558846689684402E-2</v>
      </c>
      <c r="K54" s="4">
        <v>14330</v>
      </c>
    </row>
    <row r="55" spans="1:11" ht="14.4" x14ac:dyDescent="0.25">
      <c r="A55" s="8" t="s">
        <v>146</v>
      </c>
      <c r="B55" s="4" t="s">
        <v>63</v>
      </c>
      <c r="C55" s="4">
        <v>0.40124989876575301</v>
      </c>
      <c r="D55" s="3">
        <f t="shared" si="0"/>
        <v>0.68221275206271315</v>
      </c>
      <c r="E55" s="3">
        <v>0.28618693134822099</v>
      </c>
      <c r="F55" s="3">
        <f t="shared" si="1"/>
        <v>0.45187410212877022</v>
      </c>
      <c r="G55" s="3">
        <f t="shared" si="2"/>
        <v>0.54812589787122978</v>
      </c>
      <c r="H55" s="3">
        <f t="shared" si="3"/>
        <v>0.41715641460972541</v>
      </c>
      <c r="I55" s="3">
        <f t="shared" si="4"/>
        <v>0.54812589787123001</v>
      </c>
      <c r="J55" s="3">
        <v>0.8</v>
      </c>
      <c r="K55" s="4">
        <v>207</v>
      </c>
    </row>
    <row r="56" spans="1:11" ht="14.4" x14ac:dyDescent="0.25">
      <c r="A56" s="8" t="s">
        <v>147</v>
      </c>
      <c r="B56" s="4" t="s">
        <v>64</v>
      </c>
      <c r="C56" s="4">
        <v>0.37820967977018</v>
      </c>
      <c r="D56" s="3">
        <f t="shared" si="0"/>
        <v>0.63165110395390944</v>
      </c>
      <c r="E56" s="3">
        <v>0.32083696599825601</v>
      </c>
      <c r="F56" s="3">
        <f t="shared" si="1"/>
        <v>0.50658468315514138</v>
      </c>
      <c r="G56" s="3">
        <f t="shared" si="2"/>
        <v>0.49341531684485862</v>
      </c>
      <c r="H56" s="3">
        <f t="shared" si="3"/>
        <v>0.40712614142155734</v>
      </c>
      <c r="I56" s="3">
        <f t="shared" si="4"/>
        <v>0.49341531684485873</v>
      </c>
      <c r="J56" s="3">
        <v>0.66666666666666596</v>
      </c>
      <c r="K56" s="4">
        <v>33</v>
      </c>
    </row>
    <row r="57" spans="1:11" ht="14.4" x14ac:dyDescent="0.25">
      <c r="A57" s="8" t="s">
        <v>148</v>
      </c>
      <c r="B57" s="4" t="s">
        <v>65</v>
      </c>
      <c r="C57" s="4">
        <v>0.38561634395696798</v>
      </c>
      <c r="D57" s="3">
        <f t="shared" si="0"/>
        <v>0.64790499235420673</v>
      </c>
      <c r="E57" s="3">
        <v>0.24616639032485299</v>
      </c>
      <c r="F57" s="3">
        <f t="shared" si="1"/>
        <v>0.38868377419713651</v>
      </c>
      <c r="G57" s="3">
        <f t="shared" si="2"/>
        <v>0.61131622580286349</v>
      </c>
      <c r="H57" s="3">
        <f t="shared" si="3"/>
        <v>0.42874130806385824</v>
      </c>
      <c r="I57" s="3">
        <f t="shared" si="4"/>
        <v>0.61131622580286349</v>
      </c>
      <c r="J57" s="3">
        <v>0.94736842105263097</v>
      </c>
      <c r="K57" s="4">
        <v>99</v>
      </c>
    </row>
    <row r="58" spans="1:11" ht="14.4" x14ac:dyDescent="0.25">
      <c r="A58" s="8" t="s">
        <v>149</v>
      </c>
      <c r="B58" s="4" t="s">
        <v>66</v>
      </c>
      <c r="C58" s="4">
        <v>0.33725346239561899</v>
      </c>
      <c r="D58" s="3">
        <f t="shared" si="0"/>
        <v>0.54177288486414688</v>
      </c>
      <c r="E58" s="3">
        <v>0.24669877272021101</v>
      </c>
      <c r="F58" s="3">
        <f t="shared" si="1"/>
        <v>0.38952437797928074</v>
      </c>
      <c r="G58" s="3">
        <f t="shared" si="2"/>
        <v>0.61047562202071926</v>
      </c>
      <c r="H58" s="3">
        <f t="shared" si="3"/>
        <v>0.42858719737046513</v>
      </c>
      <c r="I58" s="3">
        <f t="shared" si="4"/>
        <v>0.61047562202071926</v>
      </c>
      <c r="J58" s="3">
        <v>0.66666666666666596</v>
      </c>
      <c r="K58" s="4">
        <v>0</v>
      </c>
    </row>
    <row r="59" spans="1:11" ht="14.4" x14ac:dyDescent="0.25">
      <c r="A59" s="8" t="s">
        <v>150</v>
      </c>
      <c r="B59" s="4" t="s">
        <v>67</v>
      </c>
      <c r="C59" s="4">
        <v>0.36527625558754001</v>
      </c>
      <c r="D59" s="3">
        <f t="shared" si="0"/>
        <v>0.6032687677230697</v>
      </c>
      <c r="E59" s="3">
        <v>0.23768665614961401</v>
      </c>
      <c r="F59" s="3">
        <f t="shared" si="1"/>
        <v>0.37529472023623289</v>
      </c>
      <c r="G59" s="3">
        <f t="shared" si="2"/>
        <v>0.62470527976376711</v>
      </c>
      <c r="H59" s="3">
        <f t="shared" si="3"/>
        <v>0.43119596795669057</v>
      </c>
      <c r="I59" s="3">
        <f t="shared" si="4"/>
        <v>0.62470527976376711</v>
      </c>
      <c r="J59" s="3">
        <v>0.89361702127659504</v>
      </c>
      <c r="K59" s="4">
        <v>260</v>
      </c>
    </row>
    <row r="60" spans="1:11" ht="14.4" x14ac:dyDescent="0.25">
      <c r="A60" s="8" t="s">
        <v>151</v>
      </c>
      <c r="B60" s="4" t="s">
        <v>68</v>
      </c>
      <c r="C60" s="4">
        <v>0.29457805504297802</v>
      </c>
      <c r="D60" s="3">
        <f t="shared" si="0"/>
        <v>0.44812191176017269</v>
      </c>
      <c r="E60" s="3">
        <v>0.21216573611519199</v>
      </c>
      <c r="F60" s="3">
        <f t="shared" si="1"/>
        <v>0.33499853070819807</v>
      </c>
      <c r="G60" s="3">
        <f t="shared" si="2"/>
        <v>0.66500146929180193</v>
      </c>
      <c r="H60" s="3">
        <f t="shared" si="3"/>
        <v>0.43858360270349694</v>
      </c>
      <c r="I60" s="3">
        <f t="shared" si="4"/>
        <v>0.66500146929180182</v>
      </c>
      <c r="J60" s="3">
        <v>0.66666666666666596</v>
      </c>
      <c r="K60" s="4">
        <v>16</v>
      </c>
    </row>
    <row r="61" spans="1:11" ht="14.4" x14ac:dyDescent="0.25">
      <c r="A61" s="8" t="s">
        <v>152</v>
      </c>
      <c r="B61" s="4" t="s">
        <v>69</v>
      </c>
      <c r="C61" s="4">
        <v>0.35528264720861902</v>
      </c>
      <c r="D61" s="3">
        <f t="shared" si="0"/>
        <v>0.58133784292199553</v>
      </c>
      <c r="E61" s="3">
        <v>0.199741888244057</v>
      </c>
      <c r="F61" s="3">
        <f t="shared" si="1"/>
        <v>0.31538192880640598</v>
      </c>
      <c r="G61" s="3">
        <f t="shared" si="2"/>
        <v>0.68461807119359408</v>
      </c>
      <c r="H61" s="3">
        <f t="shared" si="3"/>
        <v>0.44217997971882556</v>
      </c>
      <c r="I61" s="3">
        <f t="shared" si="4"/>
        <v>0.6846180711935943</v>
      </c>
      <c r="J61" s="3">
        <v>0.82857142857142796</v>
      </c>
      <c r="K61" s="4">
        <v>315</v>
      </c>
    </row>
    <row r="62" spans="1:11" ht="14.4" x14ac:dyDescent="0.25">
      <c r="A62" s="8" t="s">
        <v>4</v>
      </c>
      <c r="B62" s="4" t="s">
        <v>70</v>
      </c>
      <c r="C62" s="4">
        <v>0.37762628563683898</v>
      </c>
      <c r="D62" s="3">
        <f t="shared" si="0"/>
        <v>0.63037084837628687</v>
      </c>
      <c r="E62" s="3">
        <v>0.15282392026578001</v>
      </c>
      <c r="F62" s="3">
        <f t="shared" si="1"/>
        <v>0.24130092673544226</v>
      </c>
      <c r="G62" s="3">
        <f t="shared" si="2"/>
        <v>0.75869907326455777</v>
      </c>
      <c r="H62" s="3">
        <f t="shared" si="3"/>
        <v>0.45576149676516886</v>
      </c>
      <c r="I62" s="3">
        <f t="shared" si="4"/>
        <v>0.75869907326455766</v>
      </c>
      <c r="J62" s="3">
        <v>0.66666666666666596</v>
      </c>
      <c r="K62" s="4">
        <v>0</v>
      </c>
    </row>
    <row r="63" spans="1:11" ht="14.4" x14ac:dyDescent="0.25">
      <c r="A63" s="8" t="s">
        <v>153</v>
      </c>
      <c r="B63" s="4" t="s">
        <v>71</v>
      </c>
      <c r="C63" s="4">
        <v>0.319012791490347</v>
      </c>
      <c r="D63" s="3">
        <f t="shared" si="0"/>
        <v>0.50174382160923325</v>
      </c>
      <c r="E63" s="3">
        <v>0.21252204585537901</v>
      </c>
      <c r="F63" s="3">
        <f t="shared" si="1"/>
        <v>0.33556112503480917</v>
      </c>
      <c r="G63" s="3">
        <f t="shared" si="2"/>
        <v>0.66443887496519083</v>
      </c>
      <c r="H63" s="3">
        <f t="shared" si="3"/>
        <v>0.43848046041028493</v>
      </c>
      <c r="I63" s="3">
        <f t="shared" si="4"/>
        <v>0.66443887496519083</v>
      </c>
      <c r="J63" s="3">
        <v>0.66666666666666596</v>
      </c>
      <c r="K63" s="4">
        <v>5</v>
      </c>
    </row>
    <row r="64" spans="1:11" ht="14.4" x14ac:dyDescent="0.25">
      <c r="A64" s="8" t="s">
        <v>154</v>
      </c>
      <c r="B64" s="4" t="s">
        <v>72</v>
      </c>
      <c r="C64" s="4">
        <v>0.27123853238497198</v>
      </c>
      <c r="D64" s="3">
        <f t="shared" si="0"/>
        <v>0.39690344322529059</v>
      </c>
      <c r="E64" s="3">
        <v>0.403526051413375</v>
      </c>
      <c r="F64" s="3">
        <f t="shared" si="1"/>
        <v>0.63714639696848718</v>
      </c>
      <c r="G64" s="3">
        <f t="shared" si="2"/>
        <v>0.36285360303151282</v>
      </c>
      <c r="H64" s="3">
        <f t="shared" si="3"/>
        <v>0.38318982722244388</v>
      </c>
      <c r="I64" s="3">
        <f t="shared" si="4"/>
        <v>0.36285360303151271</v>
      </c>
      <c r="J64" s="3">
        <v>0.66666666666666596</v>
      </c>
      <c r="K64" s="4">
        <v>0</v>
      </c>
    </row>
    <row r="65" spans="1:11" ht="14.4" x14ac:dyDescent="0.25">
      <c r="A65" s="8" t="s">
        <v>184</v>
      </c>
      <c r="B65" s="4" t="s">
        <v>73</v>
      </c>
      <c r="C65" s="4">
        <v>0.26610657953008399</v>
      </c>
      <c r="D65" s="3">
        <f t="shared" si="0"/>
        <v>0.38564139773823708</v>
      </c>
      <c r="E65" s="3">
        <v>0.13636363636363599</v>
      </c>
      <c r="F65" s="3">
        <f t="shared" si="1"/>
        <v>0.21531100478468854</v>
      </c>
      <c r="G65" s="3">
        <f t="shared" si="2"/>
        <v>0.78468899521531144</v>
      </c>
      <c r="H65" s="3">
        <f t="shared" si="3"/>
        <v>0.46052631578947373</v>
      </c>
      <c r="I65" s="3">
        <f t="shared" si="4"/>
        <v>0.78468899521531144</v>
      </c>
      <c r="J65" s="3">
        <v>0.66666666666666596</v>
      </c>
      <c r="K65" s="4">
        <v>0</v>
      </c>
    </row>
    <row r="66" spans="1:11" ht="14.4" x14ac:dyDescent="0.25">
      <c r="A66" s="8" t="s">
        <v>108</v>
      </c>
      <c r="B66" s="4" t="s">
        <v>74</v>
      </c>
      <c r="C66" s="4">
        <v>0.236854127888042</v>
      </c>
      <c r="D66" s="3">
        <f t="shared" si="0"/>
        <v>0.32144703541342984</v>
      </c>
      <c r="E66" s="3">
        <v>0.482783239057608</v>
      </c>
      <c r="F66" s="3">
        <f t="shared" si="1"/>
        <v>0.76228932482780254</v>
      </c>
      <c r="G66" s="3">
        <f t="shared" si="2"/>
        <v>0.23771067517219746</v>
      </c>
      <c r="H66" s="3">
        <f t="shared" si="3"/>
        <v>0.36024695711490273</v>
      </c>
      <c r="I66" s="3">
        <f t="shared" si="4"/>
        <v>0.23771067517219749</v>
      </c>
      <c r="J66" s="3">
        <v>0.66666666666666596</v>
      </c>
      <c r="K66" s="4">
        <v>0</v>
      </c>
    </row>
    <row r="67" spans="1:11" ht="14.4" x14ac:dyDescent="0.25">
      <c r="A67" s="8" t="s">
        <v>155</v>
      </c>
      <c r="B67" s="4" t="s">
        <v>75</v>
      </c>
      <c r="C67" s="4">
        <v>0.395609586419852</v>
      </c>
      <c r="D67" s="3">
        <f t="shared" ref="D67:D95" si="5">(C67-$C$99)/($C$101-$C$99)</f>
        <v>0.66983511415432417</v>
      </c>
      <c r="E67" s="3">
        <v>0.22704004817825901</v>
      </c>
      <c r="F67" s="3">
        <f t="shared" ref="F67:F95" si="6">(E67-$E$99)/($E$101-$E$99)</f>
        <v>0.35848428659725129</v>
      </c>
      <c r="G67" s="3">
        <f t="shared" ref="G67:G95" si="7">1-F67</f>
        <v>0.64151571340274871</v>
      </c>
      <c r="H67" s="3">
        <f t="shared" ref="H67:H95" si="8">(E67+G67)/2</f>
        <v>0.43427788079050389</v>
      </c>
      <c r="I67" s="3">
        <f t="shared" ref="I67:I95" si="9">(H67-$H$99)/($H$101-$H$99)</f>
        <v>0.64151571340274882</v>
      </c>
      <c r="J67" s="3">
        <v>0.66666666666666596</v>
      </c>
      <c r="K67" s="4">
        <v>0</v>
      </c>
    </row>
    <row r="68" spans="1:11" ht="14.4" x14ac:dyDescent="0.25">
      <c r="A68" s="8" t="s">
        <v>185</v>
      </c>
      <c r="B68" s="4" t="s">
        <v>76</v>
      </c>
      <c r="C68" s="4">
        <v>9.0375317002255304E-2</v>
      </c>
      <c r="D68" s="3">
        <f t="shared" si="5"/>
        <v>0</v>
      </c>
      <c r="E68" s="3">
        <v>6.3829787234042507E-2</v>
      </c>
      <c r="F68" s="3">
        <f t="shared" si="6"/>
        <v>0.10078387458006717</v>
      </c>
      <c r="G68" s="3">
        <f t="shared" si="7"/>
        <v>0.89921612541993279</v>
      </c>
      <c r="H68" s="3">
        <f t="shared" si="8"/>
        <v>0.48152295632698766</v>
      </c>
      <c r="I68" s="3">
        <f t="shared" si="9"/>
        <v>0.89921612541993279</v>
      </c>
      <c r="J68" s="3">
        <v>7.2620993708822495E-2</v>
      </c>
      <c r="K68" s="4">
        <v>12971</v>
      </c>
    </row>
    <row r="69" spans="1:11" ht="14.4" x14ac:dyDescent="0.25">
      <c r="A69" s="8" t="s">
        <v>5</v>
      </c>
      <c r="B69" s="4" t="s">
        <v>77</v>
      </c>
      <c r="C69" s="4">
        <v>0.20578465388664899</v>
      </c>
      <c r="D69" s="3">
        <f t="shared" si="5"/>
        <v>0.25326522639130661</v>
      </c>
      <c r="E69" s="3">
        <v>0.117318435754189</v>
      </c>
      <c r="F69" s="3">
        <f t="shared" si="6"/>
        <v>0.18523963540135116</v>
      </c>
      <c r="G69" s="3">
        <f t="shared" si="7"/>
        <v>0.81476036459864887</v>
      </c>
      <c r="H69" s="3">
        <f t="shared" si="8"/>
        <v>0.46603940017641893</v>
      </c>
      <c r="I69" s="3">
        <f t="shared" si="9"/>
        <v>0.81476036459864887</v>
      </c>
      <c r="J69" s="3">
        <v>0.149700598802395</v>
      </c>
      <c r="K69" s="4">
        <v>211</v>
      </c>
    </row>
    <row r="70" spans="1:11" ht="14.4" x14ac:dyDescent="0.25">
      <c r="A70" s="8" t="s">
        <v>156</v>
      </c>
      <c r="B70" s="4" t="s">
        <v>78</v>
      </c>
      <c r="C70" s="4">
        <v>0.34136665167553698</v>
      </c>
      <c r="D70" s="3">
        <f t="shared" si="5"/>
        <v>0.55079925865929513</v>
      </c>
      <c r="E70" s="3">
        <v>0.272007753190114</v>
      </c>
      <c r="F70" s="3">
        <f t="shared" si="6"/>
        <v>0.42948592608965391</v>
      </c>
      <c r="G70" s="3">
        <f t="shared" si="7"/>
        <v>0.57051407391034603</v>
      </c>
      <c r="H70" s="3">
        <f t="shared" si="8"/>
        <v>0.42126091355022999</v>
      </c>
      <c r="I70" s="3">
        <f t="shared" si="9"/>
        <v>0.57051407391034581</v>
      </c>
      <c r="J70" s="3">
        <v>0.66666666666666596</v>
      </c>
      <c r="K70" s="4">
        <v>0</v>
      </c>
    </row>
    <row r="71" spans="1:11" ht="14.4" x14ac:dyDescent="0.25">
      <c r="A71" s="8" t="s">
        <v>157</v>
      </c>
      <c r="B71" s="4" t="s">
        <v>79</v>
      </c>
      <c r="C71" s="4">
        <v>9.0375317002255304E-2</v>
      </c>
      <c r="D71" s="3">
        <f t="shared" si="5"/>
        <v>0</v>
      </c>
      <c r="E71" s="3">
        <v>0.35135135135135098</v>
      </c>
      <c r="F71" s="3">
        <f t="shared" si="6"/>
        <v>0.55476529160739663</v>
      </c>
      <c r="G71" s="3">
        <f t="shared" si="7"/>
        <v>0.44523470839260337</v>
      </c>
      <c r="H71" s="3">
        <f t="shared" si="8"/>
        <v>0.39829302987197718</v>
      </c>
      <c r="I71" s="3">
        <f t="shared" si="9"/>
        <v>0.44523470839260332</v>
      </c>
      <c r="J71" s="3">
        <v>0.92363636363636303</v>
      </c>
      <c r="K71" s="4">
        <v>6890</v>
      </c>
    </row>
    <row r="72" spans="1:11" ht="14.4" x14ac:dyDescent="0.25">
      <c r="A72" s="8" t="s">
        <v>158</v>
      </c>
      <c r="B72" s="4" t="s">
        <v>80</v>
      </c>
      <c r="C72" s="4">
        <v>0.33199729792871802</v>
      </c>
      <c r="D72" s="3">
        <f t="shared" si="5"/>
        <v>0.53023825760090304</v>
      </c>
      <c r="E72" s="3">
        <v>0.15943003091813401</v>
      </c>
      <c r="F72" s="3">
        <f t="shared" si="6"/>
        <v>0.25173162776547492</v>
      </c>
      <c r="G72" s="3">
        <f t="shared" si="7"/>
        <v>0.74826837223452514</v>
      </c>
      <c r="H72" s="3">
        <f t="shared" si="8"/>
        <v>0.45384920157632958</v>
      </c>
      <c r="I72" s="3">
        <f t="shared" si="9"/>
        <v>0.74826837223452525</v>
      </c>
      <c r="J72" s="3">
        <v>0.66666666666666596</v>
      </c>
      <c r="K72" s="4">
        <v>0</v>
      </c>
    </row>
    <row r="73" spans="1:11" ht="14.4" x14ac:dyDescent="0.25">
      <c r="A73" s="8" t="s">
        <v>159</v>
      </c>
      <c r="B73" s="4" t="s">
        <v>81</v>
      </c>
      <c r="C73" s="4">
        <v>0.135729061810518</v>
      </c>
      <c r="D73" s="3">
        <f t="shared" si="5"/>
        <v>9.9528571575316555E-2</v>
      </c>
      <c r="E73" s="3">
        <v>4.1666666666666602E-2</v>
      </c>
      <c r="F73" s="3">
        <f t="shared" si="6"/>
        <v>6.5789473684210467E-2</v>
      </c>
      <c r="G73" s="3">
        <f t="shared" si="7"/>
        <v>0.93421052631578949</v>
      </c>
      <c r="H73" s="3">
        <f t="shared" si="8"/>
        <v>0.48793859649122806</v>
      </c>
      <c r="I73" s="3">
        <f t="shared" si="9"/>
        <v>0.93421052631578949</v>
      </c>
      <c r="J73" s="3">
        <v>3.3333333333333298E-2</v>
      </c>
      <c r="K73" s="4">
        <v>7</v>
      </c>
    </row>
    <row r="74" spans="1:11" ht="14.4" x14ac:dyDescent="0.25">
      <c r="A74" s="8" t="s">
        <v>160</v>
      </c>
      <c r="B74" s="4" t="s">
        <v>82</v>
      </c>
      <c r="C74" s="4">
        <v>0.37353400254812402</v>
      </c>
      <c r="D74" s="3">
        <f t="shared" si="5"/>
        <v>0.62139035311567459</v>
      </c>
      <c r="E74" s="3">
        <v>0.273885350318471</v>
      </c>
      <c r="F74" s="3">
        <f t="shared" si="6"/>
        <v>0.43245055313442815</v>
      </c>
      <c r="G74" s="3">
        <f t="shared" si="7"/>
        <v>0.56754944686557185</v>
      </c>
      <c r="H74" s="3">
        <f t="shared" si="8"/>
        <v>0.4207173985920214</v>
      </c>
      <c r="I74" s="3">
        <f t="shared" si="9"/>
        <v>0.56754944686557163</v>
      </c>
      <c r="J74" s="3">
        <v>0.66666666666666596</v>
      </c>
      <c r="K74" s="4">
        <v>3</v>
      </c>
    </row>
    <row r="75" spans="1:11" ht="14.4" x14ac:dyDescent="0.25">
      <c r="A75" s="8" t="s">
        <v>186</v>
      </c>
      <c r="B75" s="4" t="s">
        <v>83</v>
      </c>
      <c r="C75" s="4">
        <v>0.31661715481436398</v>
      </c>
      <c r="D75" s="3">
        <f t="shared" si="5"/>
        <v>0.49648660861872862</v>
      </c>
      <c r="E75" s="3">
        <v>0.22352765097657701</v>
      </c>
      <c r="F75" s="3">
        <f t="shared" si="6"/>
        <v>0.35293839627880602</v>
      </c>
      <c r="G75" s="3">
        <f t="shared" si="7"/>
        <v>0.64706160372119403</v>
      </c>
      <c r="H75" s="3">
        <f t="shared" si="8"/>
        <v>0.43529462734888552</v>
      </c>
      <c r="I75" s="3">
        <f t="shared" si="9"/>
        <v>0.64706160372119415</v>
      </c>
      <c r="J75" s="3">
        <v>0.66666666666666596</v>
      </c>
      <c r="K75" s="4">
        <v>0</v>
      </c>
    </row>
    <row r="76" spans="1:11" ht="14.4" x14ac:dyDescent="0.25">
      <c r="A76" s="8" t="s">
        <v>161</v>
      </c>
      <c r="B76" s="4" t="s">
        <v>84</v>
      </c>
      <c r="C76" s="4">
        <v>0.35583753383706401</v>
      </c>
      <c r="D76" s="3">
        <f t="shared" si="5"/>
        <v>0.58255553891929079</v>
      </c>
      <c r="E76" s="3">
        <v>0.254226625776519</v>
      </c>
      <c r="F76" s="3">
        <f t="shared" si="6"/>
        <v>0.40141046175239864</v>
      </c>
      <c r="G76" s="3">
        <f t="shared" si="7"/>
        <v>0.59858953824760142</v>
      </c>
      <c r="H76" s="3">
        <f t="shared" si="8"/>
        <v>0.42640808201206021</v>
      </c>
      <c r="I76" s="3">
        <f t="shared" si="9"/>
        <v>0.59858953824760153</v>
      </c>
      <c r="J76" s="3">
        <v>0.66666666666666596</v>
      </c>
      <c r="K76" s="4">
        <v>2</v>
      </c>
    </row>
    <row r="77" spans="1:11" ht="14.4" x14ac:dyDescent="0.25">
      <c r="A77" s="8" t="s">
        <v>162</v>
      </c>
      <c r="B77" s="4" t="s">
        <v>85</v>
      </c>
      <c r="C77" s="4">
        <v>0.38227676231785801</v>
      </c>
      <c r="D77" s="3">
        <f t="shared" si="5"/>
        <v>0.64057629675023942</v>
      </c>
      <c r="E77" s="3">
        <v>0.25393081761006198</v>
      </c>
      <c r="F77" s="3">
        <f t="shared" si="6"/>
        <v>0.4009433962264139</v>
      </c>
      <c r="G77" s="3">
        <f t="shared" si="7"/>
        <v>0.59905660377358605</v>
      </c>
      <c r="H77" s="3">
        <f t="shared" si="8"/>
        <v>0.42649371069182401</v>
      </c>
      <c r="I77" s="3">
        <f t="shared" si="9"/>
        <v>0.59905660377358594</v>
      </c>
      <c r="J77" s="3">
        <v>0.91666666666666596</v>
      </c>
      <c r="K77" s="4">
        <v>64</v>
      </c>
    </row>
    <row r="78" spans="1:11" ht="14.4" x14ac:dyDescent="0.25">
      <c r="A78" s="8" t="s">
        <v>187</v>
      </c>
      <c r="B78" s="4" t="s">
        <v>86</v>
      </c>
      <c r="C78" s="4">
        <v>0.42953812285070198</v>
      </c>
      <c r="D78" s="3">
        <f t="shared" si="5"/>
        <v>0.74429112172061407</v>
      </c>
      <c r="E78" s="3">
        <v>0.21770671404249001</v>
      </c>
      <c r="F78" s="3">
        <f t="shared" si="6"/>
        <v>0.34374744322498441</v>
      </c>
      <c r="G78" s="3">
        <f t="shared" si="7"/>
        <v>0.65625255677501559</v>
      </c>
      <c r="H78" s="3">
        <f t="shared" si="8"/>
        <v>0.43697963540875279</v>
      </c>
      <c r="I78" s="3">
        <f t="shared" si="9"/>
        <v>0.65625255677501559</v>
      </c>
      <c r="J78" s="3">
        <v>0.75</v>
      </c>
      <c r="K78" s="4">
        <v>6</v>
      </c>
    </row>
    <row r="79" spans="1:11" ht="14.4" x14ac:dyDescent="0.25">
      <c r="A79" s="8" t="s">
        <v>163</v>
      </c>
      <c r="B79" s="4" t="s">
        <v>87</v>
      </c>
      <c r="C79" s="4">
        <v>0.320160542614981</v>
      </c>
      <c r="D79" s="3">
        <f t="shared" si="5"/>
        <v>0.504262555849189</v>
      </c>
      <c r="E79" s="3">
        <v>0.14621650026274299</v>
      </c>
      <c r="F79" s="3">
        <f t="shared" si="6"/>
        <v>0.23086815830959434</v>
      </c>
      <c r="G79" s="3">
        <f t="shared" si="7"/>
        <v>0.7691318416904056</v>
      </c>
      <c r="H79" s="3">
        <f t="shared" si="8"/>
        <v>0.45767417097657431</v>
      </c>
      <c r="I79" s="3">
        <f t="shared" si="9"/>
        <v>0.7691318416904056</v>
      </c>
      <c r="J79" s="3">
        <v>0.66666666666666596</v>
      </c>
      <c r="K79" s="4">
        <v>0</v>
      </c>
    </row>
    <row r="80" spans="1:11" ht="14.4" x14ac:dyDescent="0.25">
      <c r="A80" s="8" t="s">
        <v>164</v>
      </c>
      <c r="B80" s="4" t="s">
        <v>88</v>
      </c>
      <c r="C80" s="4">
        <v>0.34053494816397401</v>
      </c>
      <c r="D80" s="3">
        <f t="shared" si="5"/>
        <v>0.5489740893633529</v>
      </c>
      <c r="E80" s="3">
        <v>0.26985406756429797</v>
      </c>
      <c r="F80" s="3">
        <f t="shared" si="6"/>
        <v>0.42608536983836548</v>
      </c>
      <c r="G80" s="3">
        <f t="shared" si="7"/>
        <v>0.57391463016163446</v>
      </c>
      <c r="H80" s="3">
        <f t="shared" si="8"/>
        <v>0.42188434886296622</v>
      </c>
      <c r="I80" s="3">
        <f t="shared" si="9"/>
        <v>0.57391463016163435</v>
      </c>
      <c r="J80" s="3">
        <v>0.85714285714285698</v>
      </c>
      <c r="K80" s="4">
        <v>87</v>
      </c>
    </row>
    <row r="81" spans="1:11" ht="14.4" x14ac:dyDescent="0.25">
      <c r="A81" s="8" t="s">
        <v>165</v>
      </c>
      <c r="B81" s="4" t="s">
        <v>89</v>
      </c>
      <c r="C81" s="4">
        <v>0.33141556991589399</v>
      </c>
      <c r="D81" s="3">
        <f t="shared" si="5"/>
        <v>0.52896165831662134</v>
      </c>
      <c r="E81" s="3">
        <v>0.28725165562913901</v>
      </c>
      <c r="F81" s="3">
        <f t="shared" si="6"/>
        <v>0.45355524573021977</v>
      </c>
      <c r="G81" s="3">
        <f t="shared" si="7"/>
        <v>0.54644475426978023</v>
      </c>
      <c r="H81" s="3">
        <f t="shared" si="8"/>
        <v>0.41684820494945962</v>
      </c>
      <c r="I81" s="3">
        <f t="shared" si="9"/>
        <v>0.54644475426978023</v>
      </c>
      <c r="J81" s="3">
        <v>0.66666666666666596</v>
      </c>
      <c r="K81" s="4">
        <v>0</v>
      </c>
    </row>
    <row r="82" spans="1:11" ht="14.4" x14ac:dyDescent="0.25">
      <c r="A82" s="8" t="s">
        <v>6</v>
      </c>
      <c r="B82" s="4" t="s">
        <v>90</v>
      </c>
      <c r="C82" s="4">
        <v>0.37803032772844702</v>
      </c>
      <c r="D82" s="3">
        <f t="shared" si="5"/>
        <v>0.63125751677388131</v>
      </c>
      <c r="E82" s="3">
        <v>0.16642862000952099</v>
      </c>
      <c r="F82" s="3">
        <f t="shared" si="6"/>
        <v>0.26278203159398067</v>
      </c>
      <c r="G82" s="3">
        <f t="shared" si="7"/>
        <v>0.73721796840601939</v>
      </c>
      <c r="H82" s="3">
        <f t="shared" si="8"/>
        <v>0.45182329420777018</v>
      </c>
      <c r="I82" s="3">
        <f t="shared" si="9"/>
        <v>0.73721796840601939</v>
      </c>
      <c r="J82" s="3">
        <v>0.75</v>
      </c>
      <c r="K82" s="4">
        <v>6</v>
      </c>
    </row>
    <row r="83" spans="1:11" ht="14.4" x14ac:dyDescent="0.25">
      <c r="A83" s="8" t="s">
        <v>166</v>
      </c>
      <c r="B83" s="4" t="s">
        <v>91</v>
      </c>
      <c r="C83" s="4">
        <v>0.37700443090710001</v>
      </c>
      <c r="D83" s="3">
        <f t="shared" si="5"/>
        <v>0.62900619120762458</v>
      </c>
      <c r="E83" s="3">
        <v>0.208470244614822</v>
      </c>
      <c r="F83" s="3">
        <f t="shared" si="6"/>
        <v>0.3291635441286665</v>
      </c>
      <c r="G83" s="3">
        <f t="shared" si="7"/>
        <v>0.67083645587133356</v>
      </c>
      <c r="H83" s="3">
        <f t="shared" si="8"/>
        <v>0.43965335024307778</v>
      </c>
      <c r="I83" s="3">
        <f t="shared" si="9"/>
        <v>0.67083645587133367</v>
      </c>
      <c r="J83" s="3">
        <v>0.66666666666666596</v>
      </c>
      <c r="K83" s="4">
        <v>0</v>
      </c>
    </row>
    <row r="84" spans="1:11" ht="14.4" x14ac:dyDescent="0.25">
      <c r="A84" s="8" t="s">
        <v>167</v>
      </c>
      <c r="B84" s="4" t="s">
        <v>92</v>
      </c>
      <c r="C84" s="4">
        <v>0.28372238775713299</v>
      </c>
      <c r="D84" s="3">
        <f t="shared" si="5"/>
        <v>0.42429920289622441</v>
      </c>
      <c r="E84" s="3">
        <v>0.19404049044767599</v>
      </c>
      <c r="F84" s="3">
        <f t="shared" si="6"/>
        <v>0.30637972175948858</v>
      </c>
      <c r="G84" s="3">
        <f t="shared" si="7"/>
        <v>0.69362027824051142</v>
      </c>
      <c r="H84" s="3">
        <f t="shared" si="8"/>
        <v>0.44383038434409372</v>
      </c>
      <c r="I84" s="3">
        <f t="shared" si="9"/>
        <v>0.69362027824051153</v>
      </c>
      <c r="J84" s="3">
        <v>0.75</v>
      </c>
      <c r="K84" s="4">
        <v>1</v>
      </c>
    </row>
    <row r="85" spans="1:11" ht="14.4" x14ac:dyDescent="0.25">
      <c r="A85" s="8" t="s">
        <v>168</v>
      </c>
      <c r="B85" s="4" t="s">
        <v>93</v>
      </c>
      <c r="C85" s="4">
        <v>0.31487993291694899</v>
      </c>
      <c r="D85" s="3">
        <f t="shared" si="5"/>
        <v>0.49267428364556404</v>
      </c>
      <c r="E85" s="3">
        <v>0.19115144639818399</v>
      </c>
      <c r="F85" s="3">
        <f t="shared" si="6"/>
        <v>0.3018180732602907</v>
      </c>
      <c r="G85" s="3">
        <f t="shared" si="7"/>
        <v>0.69818192673970936</v>
      </c>
      <c r="H85" s="3">
        <f t="shared" si="8"/>
        <v>0.4446666865689467</v>
      </c>
      <c r="I85" s="3">
        <f t="shared" si="9"/>
        <v>0.69818192673970958</v>
      </c>
      <c r="J85" s="3">
        <v>0.66666666666666596</v>
      </c>
      <c r="K85" s="4">
        <v>0</v>
      </c>
    </row>
    <row r="86" spans="1:11" ht="14.4" x14ac:dyDescent="0.25">
      <c r="A86" s="8" t="s">
        <v>169</v>
      </c>
      <c r="B86" s="4" t="s">
        <v>94</v>
      </c>
      <c r="C86" s="4">
        <v>0.35788770511426299</v>
      </c>
      <c r="D86" s="3">
        <f t="shared" si="5"/>
        <v>0.58705462977864542</v>
      </c>
      <c r="E86" s="3">
        <v>0.29462041226747099</v>
      </c>
      <c r="F86" s="3">
        <f t="shared" si="6"/>
        <v>0.4651901246328492</v>
      </c>
      <c r="G86" s="3">
        <f t="shared" si="7"/>
        <v>0.53480987536715086</v>
      </c>
      <c r="H86" s="3">
        <f t="shared" si="8"/>
        <v>0.41471514381731089</v>
      </c>
      <c r="I86" s="3">
        <f t="shared" si="9"/>
        <v>0.53480987536715074</v>
      </c>
      <c r="J86" s="3">
        <v>0.66666666666666596</v>
      </c>
      <c r="K86" s="4">
        <v>0</v>
      </c>
    </row>
    <row r="87" spans="1:11" ht="14.4" x14ac:dyDescent="0.25">
      <c r="A87" s="8" t="s">
        <v>170</v>
      </c>
      <c r="B87" s="4" t="s">
        <v>95</v>
      </c>
      <c r="C87" s="4">
        <v>0.431099812283599</v>
      </c>
      <c r="D87" s="3">
        <f t="shared" si="5"/>
        <v>0.7477182415573026</v>
      </c>
      <c r="E87" s="3">
        <v>0.26466129418335499</v>
      </c>
      <c r="F87" s="3">
        <f t="shared" si="6"/>
        <v>0.41788625397371865</v>
      </c>
      <c r="G87" s="3">
        <f t="shared" si="7"/>
        <v>0.5821137460262813</v>
      </c>
      <c r="H87" s="3">
        <f t="shared" si="8"/>
        <v>0.42338752010481817</v>
      </c>
      <c r="I87" s="3">
        <f t="shared" si="9"/>
        <v>0.5821137460262813</v>
      </c>
      <c r="J87" s="3">
        <v>0.875</v>
      </c>
      <c r="K87" s="4">
        <v>22</v>
      </c>
    </row>
    <row r="88" spans="1:11" ht="14.4" x14ac:dyDescent="0.25">
      <c r="A88" s="8" t="s">
        <v>171</v>
      </c>
      <c r="B88" s="4" t="s">
        <v>96</v>
      </c>
      <c r="C88" s="4">
        <v>0.304718455472129</v>
      </c>
      <c r="D88" s="3">
        <f t="shared" si="5"/>
        <v>0.4703749709988721</v>
      </c>
      <c r="E88" s="3">
        <v>0.34258429301688098</v>
      </c>
      <c r="F88" s="3">
        <f t="shared" si="6"/>
        <v>0.54092256792139137</v>
      </c>
      <c r="G88" s="3">
        <f t="shared" si="7"/>
        <v>0.45907743207860863</v>
      </c>
      <c r="H88" s="3">
        <f t="shared" si="8"/>
        <v>0.4008308625477448</v>
      </c>
      <c r="I88" s="3">
        <f t="shared" si="9"/>
        <v>0.45907743207860857</v>
      </c>
      <c r="J88" s="3">
        <v>0.66666666666666596</v>
      </c>
      <c r="K88" s="4">
        <v>0</v>
      </c>
    </row>
    <row r="89" spans="1:11" ht="14.4" x14ac:dyDescent="0.25">
      <c r="A89" s="8" t="s">
        <v>188</v>
      </c>
      <c r="B89" s="4" t="s">
        <v>97</v>
      </c>
      <c r="C89" s="4">
        <v>0.376032916964887</v>
      </c>
      <c r="D89" s="3">
        <f t="shared" si="5"/>
        <v>0.62687420860414289</v>
      </c>
      <c r="E89" s="3">
        <v>0.214306741242272</v>
      </c>
      <c r="F89" s="3">
        <f t="shared" si="6"/>
        <v>0.33837906511937704</v>
      </c>
      <c r="G89" s="3">
        <f t="shared" si="7"/>
        <v>0.66162093488062301</v>
      </c>
      <c r="H89" s="3">
        <f t="shared" si="8"/>
        <v>0.43796383806144751</v>
      </c>
      <c r="I89" s="3">
        <f t="shared" si="9"/>
        <v>0.66162093488062312</v>
      </c>
      <c r="J89" s="3">
        <v>0.83333333333333304</v>
      </c>
      <c r="K89" s="4">
        <v>12</v>
      </c>
    </row>
    <row r="90" spans="1:11" ht="14.4" x14ac:dyDescent="0.25">
      <c r="A90" s="8" t="s">
        <v>172</v>
      </c>
      <c r="B90" s="4" t="s">
        <v>98</v>
      </c>
      <c r="C90" s="4">
        <v>0.30372439652973698</v>
      </c>
      <c r="D90" s="3">
        <f t="shared" si="5"/>
        <v>0.46819351350255695</v>
      </c>
      <c r="E90" s="3">
        <v>0.445569356017117</v>
      </c>
      <c r="F90" s="3">
        <f t="shared" si="6"/>
        <v>0.70353056213229037</v>
      </c>
      <c r="G90" s="3">
        <f t="shared" si="7"/>
        <v>0.29646943786770963</v>
      </c>
      <c r="H90" s="3">
        <f t="shared" si="8"/>
        <v>0.37101939694241332</v>
      </c>
      <c r="I90" s="3">
        <f t="shared" si="9"/>
        <v>0.29646943786770968</v>
      </c>
      <c r="J90" s="3">
        <v>0.66666666666666596</v>
      </c>
      <c r="K90" s="4">
        <v>0</v>
      </c>
    </row>
    <row r="91" spans="1:11" ht="14.4" x14ac:dyDescent="0.25">
      <c r="A91" s="8" t="s">
        <v>173</v>
      </c>
      <c r="B91" s="4" t="s">
        <v>99</v>
      </c>
      <c r="C91" s="4">
        <v>0.23295010889374501</v>
      </c>
      <c r="D91" s="3">
        <f t="shared" si="5"/>
        <v>0.31287968478895628</v>
      </c>
      <c r="E91" s="3">
        <v>0.42022562449637302</v>
      </c>
      <c r="F91" s="3">
        <f t="shared" si="6"/>
        <v>0.66351414394164199</v>
      </c>
      <c r="G91" s="3">
        <f t="shared" si="7"/>
        <v>0.33648585605835801</v>
      </c>
      <c r="H91" s="3">
        <f t="shared" si="8"/>
        <v>0.37835574027736552</v>
      </c>
      <c r="I91" s="3">
        <f t="shared" si="9"/>
        <v>0.33648585605835801</v>
      </c>
      <c r="J91" s="3">
        <v>0.66666666666666596</v>
      </c>
      <c r="K91" s="4">
        <v>0</v>
      </c>
    </row>
    <row r="92" spans="1:11" ht="14.4" x14ac:dyDescent="0.25">
      <c r="A92" s="8" t="s">
        <v>174</v>
      </c>
      <c r="B92" s="4" t="s">
        <v>100</v>
      </c>
      <c r="C92" s="4">
        <v>0.35142818472334603</v>
      </c>
      <c r="D92" s="3">
        <f t="shared" si="5"/>
        <v>0.57287924381465183</v>
      </c>
      <c r="E92" s="3">
        <v>0.16619067047463601</v>
      </c>
      <c r="F92" s="3">
        <f t="shared" si="6"/>
        <v>0.26240632180205703</v>
      </c>
      <c r="G92" s="3">
        <f t="shared" si="7"/>
        <v>0.73759367819794297</v>
      </c>
      <c r="H92" s="3">
        <f t="shared" si="8"/>
        <v>0.45189217433628948</v>
      </c>
      <c r="I92" s="3">
        <f t="shared" si="9"/>
        <v>0.73759367819794286</v>
      </c>
      <c r="J92" s="3">
        <v>0.66666666666666596</v>
      </c>
      <c r="K92" s="4">
        <v>0</v>
      </c>
    </row>
    <row r="93" spans="1:11" ht="14.4" x14ac:dyDescent="0.25">
      <c r="A93" s="8" t="s">
        <v>175</v>
      </c>
      <c r="B93" s="4" t="s">
        <v>101</v>
      </c>
      <c r="C93" s="4">
        <v>0.38326974437640199</v>
      </c>
      <c r="D93" s="3">
        <f t="shared" si="5"/>
        <v>0.64275539103020707</v>
      </c>
      <c r="E93" s="3">
        <v>0.19764773379231201</v>
      </c>
      <c r="F93" s="3">
        <f t="shared" si="6"/>
        <v>0.31207536914575601</v>
      </c>
      <c r="G93" s="3">
        <f t="shared" si="7"/>
        <v>0.68792463085424393</v>
      </c>
      <c r="H93" s="3">
        <f t="shared" si="8"/>
        <v>0.44278618232327799</v>
      </c>
      <c r="I93" s="3">
        <f t="shared" si="9"/>
        <v>0.68792463085424393</v>
      </c>
      <c r="J93" s="3">
        <v>0.66666666666666596</v>
      </c>
      <c r="K93" s="4">
        <v>0</v>
      </c>
    </row>
    <row r="94" spans="1:11" ht="14.4" x14ac:dyDescent="0.25">
      <c r="A94" s="8" t="s">
        <v>189</v>
      </c>
      <c r="B94" s="4" t="s">
        <v>102</v>
      </c>
      <c r="C94" s="4">
        <v>0.42996050061119401</v>
      </c>
      <c r="D94" s="3">
        <f t="shared" si="5"/>
        <v>0.74521802765406397</v>
      </c>
      <c r="E94" s="3">
        <v>0.17683707729050499</v>
      </c>
      <c r="F94" s="3">
        <f t="shared" si="6"/>
        <v>0.27921643782711331</v>
      </c>
      <c r="G94" s="3">
        <f t="shared" si="7"/>
        <v>0.72078356217288664</v>
      </c>
      <c r="H94" s="3">
        <f t="shared" si="8"/>
        <v>0.44881031973169583</v>
      </c>
      <c r="I94" s="3">
        <f t="shared" si="9"/>
        <v>0.72078356217288664</v>
      </c>
      <c r="J94" s="3">
        <v>0.91666666666666596</v>
      </c>
      <c r="K94" s="4">
        <v>75</v>
      </c>
    </row>
    <row r="95" spans="1:11" ht="14.4" x14ac:dyDescent="0.25">
      <c r="A95" s="8" t="s">
        <v>176</v>
      </c>
      <c r="B95" s="4" t="s">
        <v>103</v>
      </c>
      <c r="C95" s="4">
        <v>0.273695130987607</v>
      </c>
      <c r="D95" s="3">
        <f t="shared" si="5"/>
        <v>0.40229443686623106</v>
      </c>
      <c r="E95" s="3">
        <v>0.39969656927519198</v>
      </c>
      <c r="F95" s="3">
        <f t="shared" si="6"/>
        <v>0.63109984622398774</v>
      </c>
      <c r="G95" s="3">
        <f t="shared" si="7"/>
        <v>0.36890015377601226</v>
      </c>
      <c r="H95" s="3">
        <f t="shared" si="8"/>
        <v>0.38429836152560215</v>
      </c>
      <c r="I95" s="3">
        <f t="shared" si="9"/>
        <v>0.36890015377601237</v>
      </c>
      <c r="J95" s="3">
        <v>0.66666666666666596</v>
      </c>
      <c r="K95" s="4">
        <v>0</v>
      </c>
    </row>
    <row r="98" spans="3:8" x14ac:dyDescent="0.25">
      <c r="C98" s="4" t="s">
        <v>8</v>
      </c>
      <c r="D98" s="4"/>
      <c r="E98" s="4" t="s">
        <v>8</v>
      </c>
      <c r="H98" s="4" t="s">
        <v>8</v>
      </c>
    </row>
    <row r="99" spans="3:8" x14ac:dyDescent="0.25">
      <c r="C99" s="3">
        <f>MIN(C2:C95)</f>
        <v>9.0375317002255304E-2</v>
      </c>
      <c r="D99" s="3"/>
      <c r="E99" s="3">
        <f>MIN(E2:E95)</f>
        <v>0</v>
      </c>
      <c r="H99" s="3">
        <f>MIN(H2:H95)</f>
        <v>0.31666666666666649</v>
      </c>
    </row>
    <row r="100" spans="3:8" x14ac:dyDescent="0.25">
      <c r="C100" s="4" t="s">
        <v>9</v>
      </c>
      <c r="D100" s="4"/>
      <c r="E100" s="4" t="s">
        <v>9</v>
      </c>
      <c r="H100" s="4" t="s">
        <v>9</v>
      </c>
    </row>
    <row r="101" spans="3:8" x14ac:dyDescent="0.25">
      <c r="C101" s="3">
        <f>MAX(C2:C95)</f>
        <v>0.54606099690716603</v>
      </c>
      <c r="D101" s="3"/>
      <c r="E101" s="3">
        <f>MAX(E2:E95)</f>
        <v>0.63333333333333297</v>
      </c>
      <c r="F101" s="7"/>
      <c r="G101" s="7"/>
      <c r="H101" s="3">
        <f>MAX(H2:H95)</f>
        <v>0.5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10</vt:lpstr>
      <vt:lpstr>20</vt:lpstr>
      <vt:lpstr>30</vt:lpstr>
      <vt:lpstr>40</vt:lpstr>
      <vt:lpstr>50</vt:lpstr>
      <vt:lpstr>60</vt:lpstr>
      <vt:lpstr>70</vt:lpstr>
      <vt:lpstr>80</vt:lpstr>
      <vt:lpstr>90</vt:lpstr>
      <vt:lpstr>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楠铠 林</dc:creator>
  <cp:lastModifiedBy>楠铠 林</cp:lastModifiedBy>
  <dcterms:created xsi:type="dcterms:W3CDTF">2023-10-19T15:45:00Z</dcterms:created>
  <dcterms:modified xsi:type="dcterms:W3CDTF">2026-02-23T09:21:55Z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